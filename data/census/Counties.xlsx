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jpjsm@github\us-city-distances\data\census\"/>
    </mc:Choice>
  </mc:AlternateContent>
  <xr:revisionPtr revIDLastSave="0" documentId="13_ncr:1_{5BD94EDE-3DA0-43C9-9D0D-E558A571A2AB}" xr6:coauthVersionLast="47" xr6:coauthVersionMax="47" xr10:uidLastSave="{00000000-0000-0000-0000-000000000000}"/>
  <bookViews>
    <workbookView xWindow="38280" yWindow="-120" windowWidth="38640" windowHeight="21240" xr2:uid="{94EE0503-D2DA-46FB-9D9D-3E9E390AAC0D}"/>
  </bookViews>
  <sheets>
    <sheet name="Sheet1" sheetId="5" r:id="rId1"/>
    <sheet name="Counties_by_State_Code" sheetId="2" r:id="rId2"/>
    <sheet name="Territory_by_Code" sheetId="4" r:id="rId3"/>
  </sheets>
  <definedNames>
    <definedName name="_xlnm._FilterDatabase" localSheetId="1" hidden="1">'Counties_by_State_Code'!$A$1:$E$565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</calcChain>
</file>

<file path=xl/sharedStrings.xml><?xml version="1.0" encoding="utf-8"?>
<sst xmlns="http://schemas.openxmlformats.org/spreadsheetml/2006/main" count="6724" uniqueCount="2057">
  <si>
    <t>Autauga</t>
  </si>
  <si>
    <t>AL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</si>
  <si>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</si>
  <si>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</si>
  <si>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</si>
  <si>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</si>
  <si>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</si>
  <si>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</si>
  <si>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</si>
  <si>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</si>
  <si>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</si>
  <si>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</si>
  <si>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</si>
  <si>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</si>
  <si>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</si>
  <si>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</si>
  <si>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</si>
  <si>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</si>
  <si>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</si>
  <si>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</si>
  <si>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</si>
  <si>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</si>
  <si>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</si>
  <si>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</si>
  <si>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</si>
  <si>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</si>
  <si>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</si>
  <si>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</si>
  <si>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</si>
  <si>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</si>
  <si>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</si>
  <si>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</si>
  <si>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</si>
  <si>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</si>
  <si>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</si>
  <si>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</si>
  <si>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</si>
  <si>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</si>
  <si>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</si>
  <si>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</si>
  <si>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</si>
  <si>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</si>
  <si>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</si>
  <si>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</si>
  <si>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</si>
  <si>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</si>
  <si>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</si>
  <si>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</si>
  <si>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</si>
  <si>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</si>
  <si>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</si>
  <si>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</si>
  <si>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</si>
  <si>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</si>
  <si>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</si>
  <si>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</si>
  <si>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</si>
  <si>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</si>
  <si>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</si>
  <si>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</si>
  <si>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</si>
  <si>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</si>
  <si>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</si>
  <si>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</si>
  <si>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</si>
  <si>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</si>
  <si>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</si>
  <si>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</si>
  <si>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Aleutians East</t>
  </si>
  <si>
    <t>AK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</si>
  <si>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</si>
  <si>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</si>
  <si>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</si>
  <si>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</si>
  <si>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</si>
  <si>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</si>
  <si>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</si>
  <si>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</si>
  <si>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</si>
  <si>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</si>
  <si>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Hoonah–Angoon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</si>
  <si>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</si>
  <si>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</si>
  <si>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</si>
  <si>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</si>
  <si>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</si>
  <si>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</si>
  <si>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</si>
  <si>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</si>
  <si>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</si>
  <si>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</si>
  <si>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</si>
  <si>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 – Hyder</t>
  </si>
  <si>
    <t>Sitka</t>
  </si>
  <si>
    <t>Skagway</t>
  </si>
  <si>
    <t>Southeast Fairbanks</t>
  </si>
  <si>
    <t>Wrangell</t>
  </si>
  <si>
    <t>Yakutat</t>
  </si>
  <si>
    <t>Yukon–Koyukuk</t>
  </si>
  <si>
    <t>Eastern District</t>
  </si>
  <si>
    <t>AS</t>
  </si>
  <si>
    <t>Manu'a District</t>
  </si>
  <si>
    <t>Rose Atoll (Rose Island)</t>
  </si>
  <si>
    <t>Swains Island</t>
  </si>
  <si>
    <t>Western District</t>
  </si>
  <si>
    <t>Apache</t>
  </si>
  <si>
    <t>AZ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</si>
  <si>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</si>
  <si>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</si>
  <si>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</si>
  <si>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</si>
  <si>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</si>
  <si>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</si>
  <si>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</si>
  <si>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</si>
  <si>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</si>
  <si>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</si>
  <si>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</si>
  <si>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</si>
  <si>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</si>
  <si>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</si>
  <si>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</si>
  <si>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AR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</si>
  <si>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</si>
  <si>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</si>
  <si>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</si>
  <si>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</si>
  <si>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</si>
  <si>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</si>
  <si>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</si>
  <si>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</si>
  <si>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</si>
  <si>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</si>
  <si>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</si>
  <si>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</si>
  <si>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</si>
  <si>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</si>
  <si>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</si>
  <si>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</si>
  <si>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</si>
  <si>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</si>
  <si>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</si>
  <si>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</si>
  <si>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</si>
  <si>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</si>
  <si>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</si>
  <si>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</si>
  <si>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</si>
  <si>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</si>
  <si>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</si>
  <si>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</si>
  <si>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</si>
  <si>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</si>
  <si>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</si>
  <si>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</si>
  <si>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</si>
  <si>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</si>
  <si>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</si>
  <si>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</si>
  <si>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</si>
  <si>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</si>
  <si>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</si>
  <si>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</si>
  <si>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</si>
  <si>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</si>
  <si>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</si>
  <si>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</si>
  <si>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</si>
  <si>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</si>
  <si>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</si>
  <si>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</si>
  <si>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</si>
  <si>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</si>
  <si>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</si>
  <si>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</si>
  <si>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</si>
  <si>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</si>
  <si>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</si>
  <si>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</si>
  <si>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</si>
  <si>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CA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</si>
  <si>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</si>
  <si>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</si>
  <si>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</si>
  <si>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</si>
  <si>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</si>
  <si>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</si>
  <si>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</si>
  <si>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</si>
  <si>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</si>
  <si>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</si>
  <si>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</si>
  <si>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</si>
  <si>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</si>
  <si>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</si>
  <si>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</si>
  <si>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</si>
  <si>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</si>
  <si>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</si>
  <si>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</si>
  <si>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</si>
  <si>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</si>
  <si>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</si>
  <si>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</si>
  <si>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</si>
  <si>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</si>
  <si>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</si>
  <si>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</si>
  <si>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</si>
  <si>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</si>
  <si>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</si>
  <si>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</si>
  <si>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</si>
  <si>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</si>
  <si>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</si>
  <si>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</si>
  <si>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</si>
  <si>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</si>
  <si>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</si>
  <si>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</si>
  <si>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</si>
  <si>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</si>
  <si>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</si>
  <si>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</si>
  <si>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</si>
  <si>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</si>
  <si>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</si>
  <si>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</si>
  <si>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</si>
  <si>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</si>
  <si>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</si>
  <si>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</si>
  <si>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</si>
  <si>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</si>
  <si>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</si>
  <si>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</si>
  <si>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</si>
  <si>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CO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</si>
  <si>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</si>
  <si>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</si>
  <si>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</si>
  <si>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</si>
  <si>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</si>
  <si>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</si>
  <si>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</si>
  <si>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</si>
  <si>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</si>
  <si>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</si>
  <si>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</si>
  <si>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</si>
  <si>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</si>
  <si>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</si>
  <si>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</si>
  <si>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</si>
  <si>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</si>
  <si>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</si>
  <si>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</si>
  <si>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</si>
  <si>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</si>
  <si>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</si>
  <si>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</si>
  <si>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</si>
  <si>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</si>
  <si>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</si>
  <si>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</si>
  <si>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</si>
  <si>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</si>
  <si>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</si>
  <si>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</si>
  <si>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</si>
  <si>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</si>
  <si>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</si>
  <si>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</si>
  <si>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</si>
  <si>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</si>
  <si>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</si>
  <si>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</si>
  <si>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</si>
  <si>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</si>
  <si>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</si>
  <si>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</si>
  <si>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</si>
  <si>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</si>
  <si>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</si>
  <si>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</si>
  <si>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</si>
  <si>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</si>
  <si>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</si>
  <si>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</si>
  <si>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</si>
  <si>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</si>
  <si>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</si>
  <si>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</si>
  <si>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CT</t>
  </si>
  <si>
    <t>Fairfield</t>
  </si>
  <si>
    <t>Greater Bridgeport</t>
  </si>
  <si>
    <t>Hartford</t>
  </si>
  <si>
    <t>Litchfield</t>
  </si>
  <si>
    <t>Lower Connecticut River Valley</t>
  </si>
  <si>
    <t>Middlesex</t>
  </si>
  <si>
    <t>Naugatuck Valley</t>
  </si>
  <si>
    <t>New Haven</t>
  </si>
  <si>
    <t>New London</t>
  </si>
  <si>
    <t>Northeastern Connecticut</t>
  </si>
  <si>
    <t>Northwest Hills</t>
  </si>
  <si>
    <t>South Central Connecticut</t>
  </si>
  <si>
    <t>Southeastern Connecticut</t>
  </si>
  <si>
    <t>Tolland</t>
  </si>
  <si>
    <t>Western Connecticut</t>
  </si>
  <si>
    <t>Windham</t>
  </si>
  <si>
    <t>Kent</t>
  </si>
  <si>
    <t>DE</t>
  </si>
  <si>
    <t>New Castle</t>
  </si>
  <si>
    <t>Sussex</t>
  </si>
  <si>
    <t>District of Columbia</t>
  </si>
  <si>
    <t>DC</t>
  </si>
  <si>
    <t>Alachua</t>
  </si>
  <si>
    <t>FL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</si>
  <si>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</si>
  <si>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</si>
  <si>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</si>
  <si>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</si>
  <si>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</si>
  <si>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</si>
  <si>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</si>
  <si>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</si>
  <si>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</si>
  <si>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</si>
  <si>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</si>
  <si>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</si>
  <si>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</si>
  <si>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</si>
  <si>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</si>
  <si>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</si>
  <si>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</si>
  <si>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</si>
  <si>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</si>
  <si>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</si>
  <si>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</si>
  <si>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</si>
  <si>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</si>
  <si>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</si>
  <si>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</si>
  <si>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</si>
  <si>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</si>
  <si>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</si>
  <si>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</si>
  <si>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</si>
  <si>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</si>
  <si>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</si>
  <si>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</si>
  <si>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</si>
  <si>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</si>
  <si>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</si>
  <si>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</si>
  <si>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</si>
  <si>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</si>
  <si>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</si>
  <si>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</si>
  <si>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</si>
  <si>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</si>
  <si>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</si>
  <si>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</si>
  <si>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</si>
  <si>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</si>
  <si>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</si>
  <si>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</si>
  <si>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GA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</si>
  <si>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</si>
  <si>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</si>
  <si>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</si>
  <si>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</si>
  <si>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</si>
  <si>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</si>
  <si>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</si>
  <si>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</si>
  <si>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</si>
  <si>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</si>
  <si>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</si>
  <si>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</si>
  <si>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</si>
  <si>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</si>
  <si>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</si>
  <si>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</si>
  <si>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</si>
  <si>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</si>
  <si>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</si>
  <si>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</si>
  <si>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</si>
  <si>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</si>
  <si>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</si>
  <si>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</si>
  <si>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</si>
  <si>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</si>
  <si>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</si>
  <si>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</si>
  <si>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</si>
  <si>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</si>
  <si>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</si>
  <si>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</si>
  <si>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</si>
  <si>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</si>
  <si>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</si>
  <si>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</si>
  <si>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</si>
  <si>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</si>
  <si>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</si>
  <si>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</si>
  <si>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</si>
  <si>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</si>
  <si>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</si>
  <si>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</si>
  <si>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</si>
  <si>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</si>
  <si>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</si>
  <si>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</si>
  <si>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</si>
  <si>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</si>
  <si>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</si>
  <si>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</si>
  <si>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</si>
  <si>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</si>
  <si>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</si>
  <si>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</si>
  <si>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</si>
  <si>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</si>
  <si>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</si>
  <si>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</si>
  <si>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</si>
  <si>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</si>
  <si>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</si>
  <si>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</si>
  <si>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</si>
  <si>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</si>
  <si>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</si>
  <si>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</si>
  <si>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</si>
  <si>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</si>
  <si>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</si>
  <si>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</si>
  <si>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</si>
  <si>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</si>
  <si>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</si>
  <si>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</si>
  <si>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</si>
  <si>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</si>
  <si>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</si>
  <si>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</si>
  <si>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</si>
  <si>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</si>
  <si>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</si>
  <si>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</si>
  <si>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</si>
  <si>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</si>
  <si>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</si>
  <si>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</si>
  <si>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</si>
  <si>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</si>
  <si>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</si>
  <si>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</si>
  <si>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</si>
  <si>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</si>
  <si>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</si>
  <si>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</si>
  <si>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</si>
  <si>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</si>
  <si>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</si>
  <si>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</si>
  <si>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</si>
  <si>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</si>
  <si>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</si>
  <si>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</si>
  <si>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</si>
  <si>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</si>
  <si>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</si>
  <si>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Guam</t>
  </si>
  <si>
    <t>GU</t>
  </si>
  <si>
    <t>Hawaii</t>
  </si>
  <si>
    <t>HI</t>
  </si>
  <si>
    <t>Honolulu</t>
  </si>
  <si>
    <t>Kalawao</t>
  </si>
  <si>
    <t>Kauai</t>
  </si>
  <si>
    <t>Maui</t>
  </si>
  <si>
    <t>Ada</t>
  </si>
  <si>
    <t>ID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</si>
  <si>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</si>
  <si>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</si>
  <si>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</si>
  <si>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</si>
  <si>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</si>
  <si>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</si>
  <si>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</si>
  <si>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</si>
  <si>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</si>
  <si>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</si>
  <si>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</si>
  <si>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</si>
  <si>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</si>
  <si>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</si>
  <si>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</si>
  <si>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</si>
  <si>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</si>
  <si>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</si>
  <si>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</si>
  <si>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</si>
  <si>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</si>
  <si>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</si>
  <si>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</si>
  <si>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</si>
  <si>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</si>
  <si>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</si>
  <si>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</si>
  <si>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</si>
  <si>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</si>
  <si>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</si>
  <si>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</si>
  <si>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</si>
  <si>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</si>
  <si>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</si>
  <si>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</si>
  <si>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</si>
  <si>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</si>
  <si>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</si>
  <si>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</si>
  <si>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</si>
  <si>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</si>
  <si>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</si>
  <si>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</si>
  <si>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</si>
  <si>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</si>
  <si>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</si>
  <si>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</si>
  <si>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</si>
  <si>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</si>
  <si>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</si>
  <si>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</si>
  <si>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</si>
  <si>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</si>
  <si>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</si>
  <si>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</si>
  <si>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</si>
  <si>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</si>
  <si>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</si>
  <si>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</si>
  <si>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</si>
  <si>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</si>
  <si>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</si>
  <si>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</si>
  <si>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</si>
  <si>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</si>
  <si>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</si>
  <si>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</si>
  <si>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</si>
  <si>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</si>
  <si>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</si>
  <si>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</si>
  <si>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</si>
  <si>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</si>
  <si>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</si>
  <si>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</si>
  <si>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</si>
  <si>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</si>
  <si>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</si>
  <si>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</si>
  <si>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</si>
  <si>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</si>
  <si>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</si>
  <si>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</si>
  <si>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</si>
  <si>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</si>
  <si>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</si>
  <si>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</si>
  <si>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</si>
  <si>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</si>
  <si>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</si>
  <si>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</si>
  <si>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</si>
  <si>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</si>
  <si>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</si>
  <si>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</si>
  <si>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</si>
  <si>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</si>
  <si>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</si>
  <si>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</si>
  <si>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</si>
  <si>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</si>
  <si>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</si>
  <si>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</si>
  <si>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</si>
  <si>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</si>
  <si>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</si>
  <si>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</si>
  <si>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</si>
  <si>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</si>
  <si>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</si>
  <si>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</si>
  <si>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</si>
  <si>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</si>
  <si>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</si>
  <si>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</si>
  <si>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</si>
  <si>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</si>
  <si>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</si>
  <si>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</si>
  <si>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</si>
  <si>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</si>
  <si>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</si>
  <si>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</si>
  <si>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</si>
  <si>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</si>
  <si>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</si>
  <si>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</si>
  <si>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</si>
  <si>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</si>
  <si>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</si>
  <si>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IA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</si>
  <si>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</si>
  <si>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</si>
  <si>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</si>
  <si>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</si>
  <si>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</si>
  <si>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</si>
  <si>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</si>
  <si>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</si>
  <si>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</si>
  <si>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</si>
  <si>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</si>
  <si>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</si>
  <si>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</si>
  <si>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</si>
  <si>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</si>
  <si>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</si>
  <si>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</si>
  <si>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</si>
  <si>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</si>
  <si>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</si>
  <si>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</si>
  <si>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</si>
  <si>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</si>
  <si>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</si>
  <si>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</si>
  <si>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</si>
  <si>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</si>
  <si>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</si>
  <si>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</si>
  <si>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</si>
  <si>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</si>
  <si>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</si>
  <si>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</si>
  <si>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</si>
  <si>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</si>
  <si>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</si>
  <si>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</si>
  <si>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</si>
  <si>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</si>
  <si>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</si>
  <si>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</si>
  <si>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</si>
  <si>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</si>
  <si>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</si>
  <si>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</si>
  <si>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</si>
  <si>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</si>
  <si>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</si>
  <si>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</si>
  <si>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</si>
  <si>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</si>
  <si>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</si>
  <si>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</si>
  <si>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</si>
  <si>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</si>
  <si>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</si>
  <si>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</si>
  <si>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</si>
  <si>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</si>
  <si>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</si>
  <si>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</si>
  <si>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</si>
  <si>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</si>
  <si>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</si>
  <si>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</si>
  <si>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</si>
  <si>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</si>
  <si>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</si>
  <si>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</si>
  <si>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</si>
  <si>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</si>
  <si>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</si>
  <si>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</si>
  <si>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</si>
  <si>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</si>
  <si>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</si>
  <si>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</si>
  <si>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</si>
  <si>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</si>
  <si>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</si>
  <si>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</si>
  <si>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</si>
  <si>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</si>
  <si>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</si>
  <si>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</si>
  <si>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</si>
  <si>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</si>
  <si>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</si>
  <si>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</si>
  <si>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</si>
  <si>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</si>
  <si>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</si>
  <si>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</si>
  <si>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</si>
  <si>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</si>
  <si>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</si>
  <si>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</si>
  <si>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</si>
  <si>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</si>
  <si>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</si>
  <si>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</si>
  <si>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</si>
  <si>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</si>
  <si>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</si>
  <si>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</si>
  <si>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</si>
  <si>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</si>
  <si>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</si>
  <si>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</si>
  <si>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</si>
  <si>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</si>
  <si>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</si>
  <si>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</si>
  <si>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</si>
  <si>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</si>
  <si>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</si>
  <si>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</si>
  <si>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</si>
  <si>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</si>
  <si>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</si>
  <si>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</si>
  <si>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</si>
  <si>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</si>
  <si>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</si>
  <si>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</si>
  <si>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</si>
  <si>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</si>
  <si>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</si>
  <si>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</si>
  <si>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</si>
  <si>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</si>
  <si>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</si>
  <si>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</si>
  <si>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</si>
  <si>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</si>
  <si>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</si>
  <si>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</si>
  <si>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</si>
  <si>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</si>
  <si>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</si>
  <si>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</si>
  <si>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</si>
  <si>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</si>
  <si>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</si>
  <si>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</si>
  <si>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</si>
  <si>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</si>
  <si>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</si>
  <si>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</si>
  <si>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</si>
  <si>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</si>
  <si>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</si>
  <si>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</si>
  <si>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</si>
  <si>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</si>
  <si>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</si>
  <si>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</si>
  <si>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</si>
  <si>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</si>
  <si>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</si>
  <si>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</si>
  <si>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</si>
  <si>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</si>
  <si>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</si>
  <si>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</si>
  <si>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</si>
  <si>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</si>
  <si>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</si>
  <si>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</si>
  <si>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LA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</si>
  <si>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</si>
  <si>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</si>
  <si>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</si>
  <si>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</si>
  <si>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</si>
  <si>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</si>
  <si>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</si>
  <si>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</si>
  <si>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</si>
  <si>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</si>
  <si>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</si>
  <si>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</si>
  <si>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</si>
  <si>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</si>
  <si>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</si>
  <si>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</si>
  <si>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</si>
  <si>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</si>
  <si>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</si>
  <si>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</si>
  <si>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</si>
  <si>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</si>
  <si>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</si>
  <si>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</si>
  <si>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</si>
  <si>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</si>
  <si>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</si>
  <si>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</si>
  <si>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</si>
  <si>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</si>
  <si>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</si>
  <si>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</si>
  <si>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</si>
  <si>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</si>
  <si>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</si>
  <si>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</si>
  <si>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</si>
  <si>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</si>
  <si>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</si>
  <si>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</si>
  <si>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</si>
  <si>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</si>
  <si>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</si>
  <si>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</si>
  <si>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</si>
  <si>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</si>
  <si>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</si>
  <si>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ME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</si>
  <si>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</si>
  <si>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</si>
  <si>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</si>
  <si>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</si>
  <si>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</si>
  <si>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</si>
  <si>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</si>
  <si>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</si>
  <si>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</si>
  <si>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</si>
  <si>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MD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</si>
  <si>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</si>
  <si>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</si>
  <si>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</si>
  <si>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</si>
  <si>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</si>
  <si>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</si>
  <si>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</si>
  <si>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</si>
  <si>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</si>
  <si>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</si>
  <si>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</si>
  <si>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</si>
  <si>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</si>
  <si>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</si>
  <si>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</si>
  <si>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Baltimore City</t>
  </si>
  <si>
    <t>Barnstable</t>
  </si>
  <si>
    <t>MA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</si>
  <si>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</si>
  <si>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</si>
  <si>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</si>
  <si>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</si>
  <si>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</si>
  <si>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</si>
  <si>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</si>
  <si>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</si>
  <si>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</si>
  <si>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Alcona</t>
  </si>
  <si>
    <t>MI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</si>
  <si>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</si>
  <si>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</si>
  <si>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</si>
  <si>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</si>
  <si>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</si>
  <si>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</si>
  <si>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</si>
  <si>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</si>
  <si>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</si>
  <si>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</si>
  <si>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</si>
  <si>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</si>
  <si>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</si>
  <si>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</si>
  <si>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</si>
  <si>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</si>
  <si>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</si>
  <si>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</si>
  <si>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</si>
  <si>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</si>
  <si>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</si>
  <si>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</si>
  <si>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</si>
  <si>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</si>
  <si>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</si>
  <si>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</si>
  <si>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</si>
  <si>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</si>
  <si>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</si>
  <si>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</si>
  <si>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</si>
  <si>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</si>
  <si>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</si>
  <si>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</si>
  <si>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</si>
  <si>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</si>
  <si>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</si>
  <si>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</si>
  <si>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</si>
  <si>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</si>
  <si>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</si>
  <si>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</si>
  <si>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</si>
  <si>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</si>
  <si>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</si>
  <si>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</si>
  <si>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</si>
  <si>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</si>
  <si>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</si>
  <si>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</si>
  <si>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</si>
  <si>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</si>
  <si>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</si>
  <si>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</si>
  <si>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</si>
  <si>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</si>
  <si>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</si>
  <si>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</si>
  <si>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</si>
  <si>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</si>
  <si>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</si>
  <si>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</si>
  <si>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MN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</si>
  <si>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</si>
  <si>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</si>
  <si>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</si>
  <si>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</si>
  <si>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</si>
  <si>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</si>
  <si>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</si>
  <si>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</si>
  <si>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</si>
  <si>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</si>
  <si>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</si>
  <si>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</si>
  <si>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</si>
  <si>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</si>
  <si>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</si>
  <si>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</si>
  <si>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</si>
  <si>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</si>
  <si>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</si>
  <si>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</si>
  <si>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</si>
  <si>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</si>
  <si>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</si>
  <si>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</si>
  <si>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</si>
  <si>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</si>
  <si>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</si>
  <si>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</si>
  <si>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</si>
  <si>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</si>
  <si>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</si>
  <si>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</si>
  <si>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</si>
  <si>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</si>
  <si>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</si>
  <si>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</si>
  <si>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</si>
  <si>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</si>
  <si>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</si>
  <si>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</si>
  <si>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</si>
  <si>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</si>
  <si>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</si>
  <si>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</si>
  <si>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</si>
  <si>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</si>
  <si>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</si>
  <si>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</si>
  <si>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</si>
  <si>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</si>
  <si>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</si>
  <si>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</si>
  <si>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</si>
  <si>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</si>
  <si>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</si>
  <si>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</si>
  <si>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</si>
  <si>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</si>
  <si>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</si>
  <si>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</si>
  <si>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</si>
  <si>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</si>
  <si>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</si>
  <si>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</si>
  <si>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</si>
  <si>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</si>
  <si>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</si>
  <si>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</si>
  <si>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</si>
  <si>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</si>
  <si>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</si>
  <si>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</si>
  <si>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</si>
  <si>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</si>
  <si>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</si>
  <si>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</si>
  <si>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</si>
  <si>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</si>
  <si>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</si>
  <si>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</si>
  <si>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</si>
  <si>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</si>
  <si>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</si>
  <si>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</si>
  <si>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</si>
  <si>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</si>
  <si>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</si>
  <si>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</si>
  <si>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</si>
  <si>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</si>
  <si>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</si>
  <si>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</si>
  <si>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</si>
  <si>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</si>
  <si>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</si>
  <si>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</si>
  <si>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</si>
  <si>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</si>
  <si>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</si>
  <si>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</si>
  <si>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</si>
  <si>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</si>
  <si>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</si>
  <si>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</si>
  <si>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</si>
  <si>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</si>
  <si>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</si>
  <si>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</si>
  <si>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</si>
  <si>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</si>
  <si>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</si>
  <si>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</si>
  <si>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</si>
  <si>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</si>
  <si>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</si>
  <si>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</si>
  <si>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</si>
  <si>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</si>
  <si>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</si>
  <si>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</si>
  <si>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</si>
  <si>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</si>
  <si>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</si>
  <si>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</si>
  <si>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</si>
  <si>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</si>
  <si>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</si>
  <si>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St. Francois</t>
  </si>
  <si>
    <t>Ste. Genevieve</t>
  </si>
  <si>
    <t>Scotland</t>
  </si>
  <si>
    <t>Shannon</t>
  </si>
  <si>
    <t>Stoddard</t>
  </si>
  <si>
    <t>Taney</t>
  </si>
  <si>
    <t>Texas</t>
  </si>
  <si>
    <t>St. Louis, City of</t>
  </si>
  <si>
    <t>Beaverhead</t>
  </si>
  <si>
    <t>MT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</si>
  <si>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</si>
  <si>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</si>
  <si>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</si>
  <si>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</si>
  <si>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</si>
  <si>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</si>
  <si>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</si>
  <si>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</si>
  <si>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</si>
  <si>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</si>
  <si>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</si>
  <si>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</si>
  <si>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</si>
  <si>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</si>
  <si>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</si>
  <si>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</si>
  <si>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</si>
  <si>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</si>
  <si>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</si>
  <si>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</si>
  <si>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</si>
  <si>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</si>
  <si>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</si>
  <si>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</si>
  <si>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</si>
  <si>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</si>
  <si>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</si>
  <si>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</si>
  <si>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</si>
  <si>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</si>
  <si>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</si>
  <si>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</si>
  <si>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</si>
  <si>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</si>
  <si>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</si>
  <si>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</si>
  <si>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</si>
  <si>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</si>
  <si>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</si>
  <si>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</si>
  <si>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</si>
  <si>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</si>
  <si>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</si>
  <si>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</si>
  <si>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</si>
  <si>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</si>
  <si>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</si>
  <si>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</si>
  <si>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</si>
  <si>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</si>
  <si>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</si>
  <si>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</si>
  <si>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</si>
  <si>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</si>
  <si>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</si>
  <si>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</si>
  <si>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</si>
  <si>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</si>
  <si>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</si>
  <si>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</si>
  <si>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</si>
  <si>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</si>
  <si>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</si>
  <si>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</si>
  <si>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</si>
  <si>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</si>
  <si>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</si>
  <si>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</si>
  <si>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</si>
  <si>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</si>
  <si>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</si>
  <si>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</si>
  <si>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</si>
  <si>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</si>
  <si>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</si>
  <si>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</si>
  <si>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</si>
  <si>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NV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</si>
  <si>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</si>
  <si>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</si>
  <si>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</si>
  <si>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</si>
  <si>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</si>
  <si>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</si>
  <si>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</si>
  <si>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</si>
  <si>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</si>
  <si>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</si>
  <si>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</si>
  <si>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NH</t>
  </si>
  <si>
    <t>Cheshire</t>
  </si>
  <si>
    <t>Coos</t>
  </si>
  <si>
    <t>Grafton</t>
  </si>
  <si>
    <t>Merrimack</t>
  </si>
  <si>
    <t>Rockingham</t>
  </si>
  <si>
    <t>Strafford</t>
  </si>
  <si>
    <t>Atlantic</t>
  </si>
  <si>
    <t>NJ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</si>
  <si>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</si>
  <si>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</si>
  <si>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</si>
  <si>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</si>
  <si>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</si>
  <si>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</si>
  <si>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</si>
  <si>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</si>
  <si>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</si>
  <si>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</si>
  <si>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</si>
  <si>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NM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</si>
  <si>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</si>
  <si>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</si>
  <si>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</si>
  <si>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</si>
  <si>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</si>
  <si>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</si>
  <si>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</si>
  <si>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</si>
  <si>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</si>
  <si>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</si>
  <si>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</si>
  <si>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</si>
  <si>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</si>
  <si>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</si>
  <si>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</si>
  <si>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</si>
  <si>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</si>
  <si>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</si>
  <si>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</si>
  <si>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</si>
  <si>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</si>
  <si>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</si>
  <si>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</si>
  <si>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</si>
  <si>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</si>
  <si>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</si>
  <si>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</si>
  <si>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</si>
  <si>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</si>
  <si>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</si>
  <si>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</si>
  <si>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</si>
  <si>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</si>
  <si>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</si>
  <si>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</si>
  <si>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</si>
  <si>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</si>
  <si>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</si>
  <si>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</si>
  <si>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</si>
  <si>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</si>
  <si>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</si>
  <si>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</si>
  <si>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</si>
  <si>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</si>
  <si>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</si>
  <si>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</si>
  <si>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</si>
  <si>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</si>
  <si>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</si>
  <si>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</si>
  <si>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</si>
  <si>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</si>
  <si>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</si>
  <si>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</si>
  <si>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NC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</si>
  <si>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</si>
  <si>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</si>
  <si>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</si>
  <si>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</si>
  <si>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</si>
  <si>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</si>
  <si>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</si>
  <si>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</si>
  <si>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</si>
  <si>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</si>
  <si>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</si>
  <si>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</si>
  <si>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</si>
  <si>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</si>
  <si>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</si>
  <si>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</si>
  <si>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</si>
  <si>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</si>
  <si>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</si>
  <si>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</si>
  <si>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</si>
  <si>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</si>
  <si>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</si>
  <si>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</si>
  <si>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</si>
  <si>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</si>
  <si>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</si>
  <si>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</si>
  <si>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</si>
  <si>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</si>
  <si>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</si>
  <si>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</si>
  <si>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</si>
  <si>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</si>
  <si>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</si>
  <si>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</si>
  <si>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</si>
  <si>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</si>
  <si>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</si>
  <si>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</si>
  <si>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</si>
  <si>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</si>
  <si>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</si>
  <si>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</si>
  <si>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</si>
  <si>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</si>
  <si>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</si>
  <si>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</si>
  <si>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</si>
  <si>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</si>
  <si>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</si>
  <si>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</si>
  <si>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</si>
  <si>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</si>
  <si>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</si>
  <si>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</si>
  <si>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</si>
  <si>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</si>
  <si>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</si>
  <si>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</si>
  <si>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</si>
  <si>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</si>
  <si>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</si>
  <si>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</si>
  <si>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</si>
  <si>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</si>
  <si>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</si>
  <si>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</si>
  <si>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</si>
  <si>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</si>
  <si>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</si>
  <si>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</si>
  <si>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</si>
  <si>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</si>
  <si>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</si>
  <si>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</si>
  <si>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</si>
  <si>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</si>
  <si>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</si>
  <si>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</si>
  <si>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</si>
  <si>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</si>
  <si>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</si>
  <si>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</si>
  <si>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</si>
  <si>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</si>
  <si>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</si>
  <si>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</si>
  <si>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</si>
  <si>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</si>
  <si>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</si>
  <si>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</si>
  <si>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</si>
  <si>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</si>
  <si>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</si>
  <si>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Northern Islands</t>
  </si>
  <si>
    <t>MP</t>
  </si>
  <si>
    <t>Rota</t>
  </si>
  <si>
    <t>Saipan</t>
  </si>
  <si>
    <t>Tinian</t>
  </si>
  <si>
    <t>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</si>
  <si>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</si>
  <si>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</si>
  <si>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</si>
  <si>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</si>
  <si>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</si>
  <si>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</si>
  <si>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</si>
  <si>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</si>
  <si>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</si>
  <si>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</si>
  <si>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</si>
  <si>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</si>
  <si>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</si>
  <si>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</si>
  <si>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</si>
  <si>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</si>
  <si>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</si>
  <si>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</si>
  <si>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</si>
  <si>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</si>
  <si>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</si>
  <si>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</si>
  <si>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</si>
  <si>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</si>
  <si>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</si>
  <si>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</si>
  <si>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</si>
  <si>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</si>
  <si>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</si>
  <si>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</si>
  <si>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</si>
  <si>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</si>
  <si>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</si>
  <si>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</si>
  <si>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</si>
  <si>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</si>
  <si>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</si>
  <si>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</si>
  <si>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</si>
  <si>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</si>
  <si>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</si>
  <si>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</si>
  <si>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</si>
  <si>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</si>
  <si>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</si>
  <si>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</si>
  <si>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</si>
  <si>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</si>
  <si>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</si>
  <si>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</si>
  <si>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</si>
  <si>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</si>
  <si>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</si>
  <si>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</si>
  <si>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</si>
  <si>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</si>
  <si>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</si>
  <si>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</si>
  <si>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</si>
  <si>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</si>
  <si>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</si>
  <si>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</si>
  <si>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</si>
  <si>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</si>
  <si>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</si>
  <si>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</si>
  <si>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</si>
  <si>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</si>
  <si>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</si>
  <si>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</si>
  <si>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</si>
  <si>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</si>
  <si>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</si>
  <si>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</si>
  <si>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</si>
  <si>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</si>
  <si>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</si>
  <si>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</si>
  <si>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</si>
  <si>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</si>
  <si>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</si>
  <si>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</si>
  <si>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</si>
  <si>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</si>
  <si>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</si>
  <si>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</si>
  <si>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</si>
  <si>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</si>
  <si>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</si>
  <si>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</si>
  <si>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</si>
  <si>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</si>
  <si>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</si>
  <si>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</si>
  <si>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</si>
  <si>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</si>
  <si>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</si>
  <si>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</si>
  <si>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</si>
  <si>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</si>
  <si>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</si>
  <si>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</si>
  <si>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</si>
  <si>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</si>
  <si>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</si>
  <si>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</si>
  <si>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</si>
  <si>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</si>
  <si>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</si>
  <si>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</si>
  <si>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</si>
  <si>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</si>
  <si>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</si>
  <si>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</si>
  <si>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</si>
  <si>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</si>
  <si>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</si>
  <si>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</si>
  <si>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</si>
  <si>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</si>
  <si>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</si>
  <si>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</si>
  <si>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</si>
  <si>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</si>
  <si>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</si>
  <si>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</si>
  <si>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</si>
  <si>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Adjuntas</t>
  </si>
  <si>
    <t>PR</t>
  </si>
  <si>
    <t>Aguada</t>
  </si>
  <si>
    <t>Aguadilla</t>
  </si>
  <si>
    <t>Aguas Buenas</t>
  </si>
  <si>
    <t>Aibonito</t>
  </si>
  <si>
    <t>Añasco</t>
  </si>
  <si>
    <t>Arecibo</t>
  </si>
  <si>
    <t>Arroyo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</si>
  <si>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</si>
  <si>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</si>
  <si>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</si>
  <si>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</si>
  <si>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</si>
  <si>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</si>
  <si>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</si>
  <si>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</si>
  <si>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</si>
  <si>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</si>
  <si>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</si>
  <si>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</si>
  <si>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</si>
  <si>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</si>
  <si>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</si>
  <si>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</si>
  <si>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</si>
  <si>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</si>
  <si>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</si>
  <si>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Florida</t>
  </si>
  <si>
    <t>Guánica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</si>
  <si>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</si>
  <si>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</si>
  <si>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</si>
  <si>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</si>
  <si>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</si>
  <si>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</si>
  <si>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</si>
  <si>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</si>
  <si>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</si>
  <si>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</si>
  <si>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</si>
  <si>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</si>
  <si>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</si>
  <si>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</si>
  <si>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</si>
  <si>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</si>
  <si>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</si>
  <si>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</si>
  <si>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</si>
  <si>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</si>
  <si>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</si>
  <si>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</si>
  <si>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</si>
  <si>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</si>
  <si>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</si>
  <si>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</si>
  <si>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</si>
  <si>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</si>
  <si>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</si>
  <si>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</si>
  <si>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</si>
  <si>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</si>
  <si>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</si>
  <si>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</si>
  <si>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</si>
  <si>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</si>
  <si>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</si>
  <si>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</si>
  <si>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</si>
  <si>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</si>
  <si>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</si>
  <si>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</si>
  <si>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</si>
  <si>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</si>
  <si>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</si>
  <si>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</si>
  <si>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</si>
  <si>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</si>
  <si>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RI</t>
  </si>
  <si>
    <t>Newport</t>
  </si>
  <si>
    <t>Providence</t>
  </si>
  <si>
    <t>Abbeville</t>
  </si>
  <si>
    <t>SC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</si>
  <si>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</si>
  <si>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</si>
  <si>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</si>
  <si>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</si>
  <si>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</si>
  <si>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</si>
  <si>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</si>
  <si>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</si>
  <si>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</si>
  <si>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</si>
  <si>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</si>
  <si>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</si>
  <si>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</si>
  <si>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</si>
  <si>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</si>
  <si>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</si>
  <si>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</si>
  <si>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</si>
  <si>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</si>
  <si>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</si>
  <si>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</si>
  <si>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</si>
  <si>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</si>
  <si>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</si>
  <si>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</si>
  <si>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</si>
  <si>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</si>
  <si>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SD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</si>
  <si>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</si>
  <si>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</si>
  <si>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</si>
  <si>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</si>
  <si>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</si>
  <si>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</si>
  <si>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</si>
  <si>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</si>
  <si>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</si>
  <si>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</si>
  <si>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</si>
  <si>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</si>
  <si>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</si>
  <si>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</si>
  <si>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</si>
  <si>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</si>
  <si>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</si>
  <si>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</si>
  <si>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</si>
  <si>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</si>
  <si>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</si>
  <si>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</si>
  <si>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</si>
  <si>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</si>
  <si>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</si>
  <si>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</si>
  <si>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</si>
  <si>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</si>
  <si>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</si>
  <si>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</si>
  <si>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</si>
  <si>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</si>
  <si>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</si>
  <si>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</si>
  <si>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</si>
  <si>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</si>
  <si>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</si>
  <si>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</si>
  <si>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</si>
  <si>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</si>
  <si>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</si>
  <si>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</si>
  <si>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</si>
  <si>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</si>
  <si>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</si>
  <si>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</si>
  <si>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</si>
  <si>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</si>
  <si>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</si>
  <si>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</si>
  <si>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</si>
  <si>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</si>
  <si>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</si>
  <si>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</si>
  <si>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</si>
  <si>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</si>
  <si>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</si>
  <si>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</si>
  <si>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</si>
  <si>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</si>
  <si>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</si>
  <si>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</si>
  <si>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</si>
  <si>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</si>
  <si>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</si>
  <si>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</si>
  <si>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</si>
  <si>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</si>
  <si>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</si>
  <si>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</si>
  <si>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</si>
  <si>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</si>
  <si>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</si>
  <si>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</si>
  <si>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</si>
  <si>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</si>
  <si>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</si>
  <si>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</si>
  <si>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</si>
  <si>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</si>
  <si>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</si>
  <si>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</si>
  <si>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</si>
  <si>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</si>
  <si>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</si>
  <si>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</si>
  <si>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</si>
  <si>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</si>
  <si>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</si>
  <si>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</si>
  <si>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</si>
  <si>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</si>
  <si>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</si>
  <si>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</si>
  <si>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</si>
  <si>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</si>
  <si>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</si>
  <si>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</si>
  <si>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</si>
  <si>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</si>
  <si>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</si>
  <si>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</si>
  <si>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</si>
  <si>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</si>
  <si>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</si>
  <si>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</si>
  <si>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</si>
  <si>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</si>
  <si>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</si>
  <si>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</si>
  <si>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</si>
  <si>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</si>
  <si>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</si>
  <si>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</si>
  <si>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</si>
  <si>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</si>
  <si>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</si>
  <si>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</si>
  <si>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</si>
  <si>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</si>
  <si>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</si>
  <si>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</si>
  <si>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</si>
  <si>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</si>
  <si>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</si>
  <si>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</si>
  <si>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</si>
  <si>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</si>
  <si>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</si>
  <si>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</si>
  <si>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</si>
  <si>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</si>
  <si>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</si>
  <si>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</si>
  <si>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</si>
  <si>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</si>
  <si>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</si>
  <si>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</si>
  <si>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</si>
  <si>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</si>
  <si>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</si>
  <si>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</si>
  <si>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</si>
  <si>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</si>
  <si>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</si>
  <si>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</si>
  <si>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</si>
  <si>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</si>
  <si>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</si>
  <si>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</si>
  <si>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</si>
  <si>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</si>
  <si>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</si>
  <si>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</si>
  <si>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</si>
  <si>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</si>
  <si>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</si>
  <si>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</si>
  <si>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</si>
  <si>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</si>
  <si>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</si>
  <si>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</si>
  <si>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</si>
  <si>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</si>
  <si>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</si>
  <si>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</si>
  <si>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</si>
  <si>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</si>
  <si>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</si>
  <si>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</si>
  <si>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</si>
  <si>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</si>
  <si>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</si>
  <si>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</si>
  <si>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</si>
  <si>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</si>
  <si>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</si>
  <si>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</si>
  <si>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</si>
  <si>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</si>
  <si>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</si>
  <si>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</si>
  <si>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</si>
  <si>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</si>
  <si>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</si>
  <si>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</si>
  <si>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</si>
  <si>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</si>
  <si>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</si>
  <si>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</si>
  <si>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</si>
  <si>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</si>
  <si>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</si>
  <si>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</si>
  <si>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</si>
  <si>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</si>
  <si>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</si>
  <si>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</si>
  <si>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</si>
  <si>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</si>
  <si>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</si>
  <si>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</si>
  <si>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</si>
  <si>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</si>
  <si>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</si>
  <si>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</si>
  <si>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</si>
  <si>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</si>
  <si>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</si>
  <si>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</si>
  <si>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</si>
  <si>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</si>
  <si>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</si>
  <si>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</si>
  <si>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</si>
  <si>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</si>
  <si>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</si>
  <si>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</si>
  <si>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</si>
  <si>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</si>
  <si>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</si>
  <si>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</si>
  <si>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</si>
  <si>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</si>
  <si>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</si>
  <si>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</si>
  <si>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</si>
  <si>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</si>
  <si>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</si>
  <si>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</si>
  <si>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</si>
  <si>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</si>
  <si>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</si>
  <si>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</si>
  <si>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</si>
  <si>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</si>
  <si>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</si>
  <si>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</si>
  <si>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</si>
  <si>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</si>
  <si>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</si>
  <si>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</si>
  <si>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VT</t>
  </si>
  <si>
    <t>Bennington</t>
  </si>
  <si>
    <t>Caledonia</t>
  </si>
  <si>
    <t>Chittenden</t>
  </si>
  <si>
    <t>Grand Isle</t>
  </si>
  <si>
    <t>Lamoille</t>
  </si>
  <si>
    <t>Rutland</t>
  </si>
  <si>
    <t>Windsor</t>
  </si>
  <si>
    <t>Saint Croix Island</t>
  </si>
  <si>
    <t>VI</t>
  </si>
  <si>
    <t>Saint John Island</t>
  </si>
  <si>
    <t>Saint Thomas Island</t>
  </si>
  <si>
    <t>Accomack</t>
  </si>
  <si>
    <t>VA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</si>
  <si>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</si>
  <si>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</si>
  <si>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</si>
  <si>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</si>
  <si>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</si>
  <si>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</si>
  <si>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</si>
  <si>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</si>
  <si>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</si>
  <si>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</si>
  <si>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</si>
  <si>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</si>
  <si>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</si>
  <si>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</si>
  <si>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</si>
  <si>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</si>
  <si>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</si>
  <si>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</si>
  <si>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</si>
  <si>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</si>
  <si>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</si>
  <si>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</si>
  <si>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</si>
  <si>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</si>
  <si>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</si>
  <si>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</si>
  <si>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</si>
  <si>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</si>
  <si>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</si>
  <si>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</si>
  <si>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</si>
  <si>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</si>
  <si>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</si>
  <si>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</si>
  <si>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</si>
  <si>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</si>
  <si>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</si>
  <si>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</si>
  <si>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</si>
  <si>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</si>
  <si>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</si>
  <si>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</si>
  <si>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</si>
  <si>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</si>
  <si>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Alexandria, City of</t>
  </si>
  <si>
    <t>Bristol, City of</t>
  </si>
  <si>
    <t>Buena Vista, City of</t>
  </si>
  <si>
    <t>Charlottesville, City of</t>
  </si>
  <si>
    <t>Chesapeake, City of</t>
  </si>
  <si>
    <t>Colonial Heights, City of</t>
  </si>
  <si>
    <t>Covington, City of</t>
  </si>
  <si>
    <t>Danville, City of</t>
  </si>
  <si>
    <t>Emporia, City of</t>
  </si>
  <si>
    <t>Fairfax, City of</t>
  </si>
  <si>
    <t>Falls Church, City of</t>
  </si>
  <si>
    <t>Franklin, City of</t>
  </si>
  <si>
    <t>Fredericksburg, City of</t>
  </si>
  <si>
    <t>Galax, City of</t>
  </si>
  <si>
    <t>Hampton, City of</t>
  </si>
  <si>
    <t>Harrisonburg, City of</t>
  </si>
  <si>
    <t>Hopewell, City of</t>
  </si>
  <si>
    <t>Lexington, City of</t>
  </si>
  <si>
    <t>Lynchburg, City of</t>
  </si>
  <si>
    <t>Manassas, City of</t>
  </si>
  <si>
    <t>Manassas Park, City of</t>
  </si>
  <si>
    <t>Martinsville, City of</t>
  </si>
  <si>
    <t>Newport News, City of</t>
  </si>
  <si>
    <t>Norfolk, City of</t>
  </si>
  <si>
    <t>Norton, City of</t>
  </si>
  <si>
    <t>Petersburg, City of</t>
  </si>
  <si>
    <t>Poquoson, City of</t>
  </si>
  <si>
    <t>Portsmouth, City of</t>
  </si>
  <si>
    <t>Radford, City of</t>
  </si>
  <si>
    <t>Richmond, City of</t>
  </si>
  <si>
    <t>Roanoke, City of</t>
  </si>
  <si>
    <t>Salem, City of</t>
  </si>
  <si>
    <t>Staunton, City of</t>
  </si>
  <si>
    <t>Suffolk, City of</t>
  </si>
  <si>
    <t>Virginia Beach, City of</t>
  </si>
  <si>
    <t>Waynesboro, City of</t>
  </si>
  <si>
    <t>Williamsburg, City of</t>
  </si>
  <si>
    <t>Winchester, City of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</si>
  <si>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</si>
  <si>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</si>
  <si>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</si>
  <si>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</si>
  <si>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</si>
  <si>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</si>
  <si>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</si>
  <si>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</si>
  <si>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</si>
  <si>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</si>
  <si>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</si>
  <si>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</si>
  <si>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</si>
  <si>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</si>
  <si>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</si>
  <si>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</si>
  <si>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</si>
  <si>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</si>
  <si>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</si>
  <si>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</si>
  <si>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</si>
  <si>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</si>
  <si>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</si>
  <si>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WV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</si>
  <si>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</si>
  <si>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</si>
  <si>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</si>
  <si>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</si>
  <si>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</si>
  <si>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</si>
  <si>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</si>
  <si>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</si>
  <si>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</si>
  <si>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</si>
  <si>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</si>
  <si>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</si>
  <si>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</si>
  <si>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</si>
  <si>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</si>
  <si>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</si>
  <si>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</si>
  <si>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</si>
  <si>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</si>
  <si>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</si>
  <si>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</si>
  <si>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</si>
  <si>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</si>
  <si>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</si>
  <si>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</si>
  <si>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</si>
  <si>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</si>
  <si>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</si>
  <si>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</si>
  <si>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</si>
  <si>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</si>
  <si>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</si>
  <si>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</si>
  <si>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</si>
  <si>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</si>
  <si>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</si>
  <si>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</si>
  <si>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</si>
  <si>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</si>
  <si>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</si>
  <si>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</si>
  <si>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</si>
  <si>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</si>
  <si>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</si>
  <si>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</si>
  <si>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</si>
  <si>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</si>
  <si>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</si>
  <si>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</si>
  <si>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</si>
  <si>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</si>
  <si>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</si>
  <si>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</si>
  <si>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</si>
  <si>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</si>
  <si>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</si>
  <si>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</si>
  <si>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</si>
  <si>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</si>
  <si>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</si>
  <si>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</si>
  <si>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</si>
  <si>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</si>
  <si>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</si>
  <si>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State_Code</t>
  </si>
  <si>
    <t>Area (mi2)</t>
  </si>
  <si>
    <t>Population (2020)</t>
  </si>
  <si>
    <t>Code</t>
  </si>
  <si>
    <t>Territory_Name</t>
  </si>
  <si>
    <t>Territory_Type</t>
  </si>
  <si>
    <t>Alabama</t>
  </si>
  <si>
    <t>state</t>
  </si>
  <si>
    <t>Alaska</t>
  </si>
  <si>
    <t>American Samoa</t>
  </si>
  <si>
    <t>outlying area</t>
  </si>
  <si>
    <t>Arizona</t>
  </si>
  <si>
    <t>California</t>
  </si>
  <si>
    <t>Connecticut</t>
  </si>
  <si>
    <t>district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</si>
  <si>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</si>
  <si>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</si>
  <si>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</si>
  <si>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</si>
  <si>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</si>
  <si>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</si>
  <si>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</si>
  <si>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</si>
  <si>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</si>
  <si>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</si>
  <si>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</si>
  <si>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</si>
  <si>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</si>
  <si>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</si>
  <si>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</si>
  <si>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</si>
  <si>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</si>
  <si>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</si>
  <si>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Northern Mariana Islands</t>
  </si>
  <si>
    <t>Pennsylvania</t>
  </si>
  <si>
    <t>Puerto Rico</t>
  </si>
  <si>
    <t>Rhode Island</t>
  </si>
  <si>
    <t>South Carolina</t>
  </si>
  <si>
    <t>South Dakota</t>
  </si>
  <si>
    <t>Tennessee</t>
  </si>
  <si>
    <t>UM</t>
  </si>
  <si>
    <t>United States Minor Outlying Islands</t>
  </si>
  <si>
    <t>Vermont</t>
  </si>
  <si>
    <t>Virgin Islands, U.S.</t>
  </si>
  <si>
    <t>Virginia</t>
  </si>
  <si>
    <t>West Virginia</t>
  </si>
  <si>
    <t>Wisconsin</t>
  </si>
  <si>
    <t>State_Name</t>
  </si>
  <si>
    <t>County_Name</t>
  </si>
  <si>
    <t>Row Labels</t>
  </si>
  <si>
    <t>Grand Total</t>
  </si>
  <si>
    <t>Count of County_Name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</si>
</sst>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Pablo Jofre" refreshedDate="46084.81377523148" createdVersion="8" refreshedVersion="8" minRefreshableVersion="3" recordCount="3243" xr:uid="{5649AD26-9E12-40A7-8D1B-312529639E35}">
  <cacheSource type="worksheet">
    <worksheetSource name="Counties_by_State_Code"/>
  </cacheSource>
  <cacheFields count="5">
    <cacheField name="State_Code" numFmtId="0">
      <sharedItems/>
    </cacheField>
    <cacheField name="State_Name" numFmtId="0">
      <sharedItems count="56">
        <s v="Alabama"/>
        <s v="Alaska"/>
        <s v="American Samoa"/>
        <s v="Arizona"/>
        <s v="Arkansas"/>
        <s v="California"/>
        <s v="Colorado"/>
        <s v="Connecticut"/>
        <s v="Delaware"/>
        <s v="District of Columbia"/>
        <s v="Florida"/>
        <s v="Georgia"/>
        <s v="Guam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Northern Mariana Islands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 Islands, U.S."/>
        <s v="Virginia"/>
        <s v="Washington"/>
        <s v="West Virginia"/>
        <s v="Wisconsin"/>
        <s v="Wyoming"/>
      </sharedItems>
    </cacheField>
    <cacheField name="County_Name" numFmtId="0">
      <sharedItems/>
    </cacheField>
    <cacheField name="Population (2020)" numFmtId="0">
      <sharedItems containsSemiMixedTypes="0" containsString="0" containsNumber="1" containsInteger="1" minValue="0" maxValue="10014009"/>
    </cacheField>
    <cacheField name="Area (mi2)" numFmtId="0">
      <sharedItems containsSemiMixedTypes="0" containsString="0" containsNumber="1" minValue="0.02" maxValue="145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3">
  <r>
    <s v="AL"/>
    <x v="0"/>
    <s v="Jefferson"/>
    <n v="674721"/>
    <n v="1111.28"/>
  </r>
  <r>
    <s v="AL"/>
    <x v="0"/>
    <s v="Mobile"/>
    <n v="414809"/>
    <n v="1229.44"/>
  </r>
  <r>
    <s v="AL"/>
    <x v="0"/>
    <s v="Madison"/>
    <n v="388153"/>
    <n v="801.59"/>
  </r>
  <r>
    <s v="AL"/>
    <x v="0"/>
    <s v="Baldwin"/>
    <n v="231767"/>
    <n v="1589.78"/>
  </r>
  <r>
    <s v="AL"/>
    <x v="0"/>
    <s v="Montgomery"/>
    <n v="228954"/>
    <n v="784.25"/>
  </r>
  <r>
    <s v="AL"/>
    <x v="0"/>
    <s v="Tuscaloosa"/>
    <n v="227036"/>
    <n v="1321.75"/>
  </r>
  <r>
    <s v="AL"/>
    <x v="0"/>
    <s v="Shelby"/>
    <n v="223024"/>
    <n v="784.93"/>
  </r>
  <r>
    <s v="AL"/>
    <x v="0"/>
    <s v="Lee"/>
    <n v="174241"/>
    <n v="607.54"/>
  </r>
  <r>
    <s v="AL"/>
    <x v="0"/>
    <s v="Morgan"/>
    <n v="123421"/>
    <n v="579.34"/>
  </r>
  <r>
    <s v="AL"/>
    <x v="0"/>
    <s v="Calhoun"/>
    <n v="116441"/>
    <n v="605.87"/>
  </r>
  <r>
    <s v="AL"/>
    <x v="0"/>
    <s v="Houston"/>
    <n v="107202"/>
    <n v="579.82000000000005"/>
  </r>
  <r>
    <s v="AL"/>
    <x v="0"/>
    <s v="Limestone"/>
    <n v="103570"/>
    <n v="559.94000000000005"/>
  </r>
  <r>
    <s v="AL"/>
    <x v="0"/>
    <s v="Etowah"/>
    <n v="103436"/>
    <n v="534.99"/>
  </r>
  <r>
    <s v="AL"/>
    <x v="0"/>
    <s v="Marshall"/>
    <n v="97612"/>
    <n v="565.84"/>
  </r>
  <r>
    <s v="AL"/>
    <x v="0"/>
    <s v="Lauderdale"/>
    <n v="93564"/>
    <n v="667.7"/>
  </r>
  <r>
    <s v="AL"/>
    <x v="0"/>
    <s v="St. Clair"/>
    <n v="91103"/>
    <n v="631.9"/>
  </r>
  <r>
    <s v="AL"/>
    <x v="0"/>
    <s v="Elmore"/>
    <n v="87977"/>
    <n v="618.48"/>
  </r>
  <r>
    <s v="AL"/>
    <x v="0"/>
    <s v="Cullman"/>
    <n v="87866"/>
    <n v="734.84"/>
  </r>
  <r>
    <s v="AL"/>
    <x v="0"/>
    <s v="Talladega"/>
    <n v="82149"/>
    <n v="736.78"/>
  </r>
  <r>
    <s v="AL"/>
    <x v="0"/>
    <s v="DeKalb"/>
    <n v="71608"/>
    <n v="777.09"/>
  </r>
  <r>
    <s v="AL"/>
    <x v="0"/>
    <s v="Walker"/>
    <n v="65342"/>
    <n v="791.19"/>
  </r>
  <r>
    <s v="AL"/>
    <x v="0"/>
    <s v="Russell"/>
    <n v="59183"/>
    <n v="641.14"/>
  </r>
  <r>
    <s v="AL"/>
    <x v="0"/>
    <s v="Blount"/>
    <n v="59134"/>
    <n v="644.78"/>
  </r>
  <r>
    <s v="AL"/>
    <x v="0"/>
    <s v="Autauga"/>
    <n v="58805"/>
    <n v="594.44000000000005"/>
  </r>
  <r>
    <s v="AL"/>
    <x v="0"/>
    <s v="Colbert"/>
    <n v="57227"/>
    <n v="592.62"/>
  </r>
  <r>
    <s v="AL"/>
    <x v="0"/>
    <s v="Coffee"/>
    <n v="53465"/>
    <n v="678.97"/>
  </r>
  <r>
    <s v="AL"/>
    <x v="0"/>
    <s v="Jackson"/>
    <n v="52579"/>
    <n v="1077.8699999999999"/>
  </r>
  <r>
    <s v="AL"/>
    <x v="0"/>
    <s v="Dale"/>
    <n v="49326"/>
    <n v="561.15"/>
  </r>
  <r>
    <s v="AL"/>
    <x v="0"/>
    <s v="Chilton"/>
    <n v="45014"/>
    <n v="692.85"/>
  </r>
  <r>
    <s v="AL"/>
    <x v="0"/>
    <s v="Tallapoosa"/>
    <n v="41311"/>
    <n v="716.52"/>
  </r>
  <r>
    <s v="AL"/>
    <x v="0"/>
    <s v="Dallas"/>
    <n v="38462"/>
    <n v="978.69"/>
  </r>
  <r>
    <s v="AL"/>
    <x v="0"/>
    <s v="Covington"/>
    <n v="37570"/>
    <n v="1030.46"/>
  </r>
  <r>
    <s v="AL"/>
    <x v="0"/>
    <s v="Escambia"/>
    <n v="36757"/>
    <n v="945.08"/>
  </r>
  <r>
    <s v="AL"/>
    <x v="0"/>
    <s v="Chambers"/>
    <n v="34772"/>
    <n v="596.53"/>
  </r>
  <r>
    <s v="AL"/>
    <x v="0"/>
    <s v="Lawrence"/>
    <n v="33073"/>
    <n v="690.68"/>
  </r>
  <r>
    <s v="AL"/>
    <x v="0"/>
    <s v="Pike"/>
    <n v="33009"/>
    <n v="672.09"/>
  </r>
  <r>
    <s v="AL"/>
    <x v="0"/>
    <s v="Franklin"/>
    <n v="32113"/>
    <n v="633.82000000000005"/>
  </r>
  <r>
    <s v="AL"/>
    <x v="0"/>
    <s v="Marion"/>
    <n v="29341"/>
    <n v="742.29"/>
  </r>
  <r>
    <s v="AL"/>
    <x v="0"/>
    <s v="Geneva"/>
    <n v="26659"/>
    <n v="574.41"/>
  </r>
  <r>
    <s v="AL"/>
    <x v="0"/>
    <s v="Barbour"/>
    <n v="25223"/>
    <n v="884.88"/>
  </r>
  <r>
    <s v="AL"/>
    <x v="0"/>
    <s v="Cherokee"/>
    <n v="24971"/>
    <n v="553.70000000000005"/>
  </r>
  <r>
    <s v="AL"/>
    <x v="0"/>
    <s v="Winston"/>
    <n v="23540"/>
    <n v="612.98"/>
  </r>
  <r>
    <s v="AL"/>
    <x v="0"/>
    <s v="Clarke"/>
    <n v="23087"/>
    <n v="1238.46"/>
  </r>
  <r>
    <s v="AL"/>
    <x v="0"/>
    <s v="Bibb"/>
    <n v="22293"/>
    <n v="622.58000000000004"/>
  </r>
  <r>
    <s v="AL"/>
    <x v="0"/>
    <s v="Randolph"/>
    <n v="21967"/>
    <n v="580.54999999999995"/>
  </r>
  <r>
    <s v="AL"/>
    <x v="0"/>
    <s v="Monroe"/>
    <n v="19772"/>
    <n v="1025.67"/>
  </r>
  <r>
    <s v="AL"/>
    <x v="0"/>
    <s v="Macon"/>
    <n v="19532"/>
    <n v="608.89"/>
  </r>
  <r>
    <s v="AL"/>
    <x v="0"/>
    <s v="Marengo"/>
    <n v="19323"/>
    <n v="976.88"/>
  </r>
  <r>
    <s v="AL"/>
    <x v="0"/>
    <s v="Pickens"/>
    <n v="19123"/>
    <n v="881.41"/>
  </r>
  <r>
    <s v="AL"/>
    <x v="0"/>
    <s v="Butler"/>
    <n v="19051"/>
    <n v="776.83"/>
  </r>
  <r>
    <s v="AL"/>
    <x v="0"/>
    <s v="Henry"/>
    <n v="17146"/>
    <n v="561.75"/>
  </r>
  <r>
    <s v="AL"/>
    <x v="0"/>
    <s v="Fayette"/>
    <n v="16321"/>
    <n v="627.66"/>
  </r>
  <r>
    <s v="AL"/>
    <x v="0"/>
    <s v="Washington"/>
    <n v="15388"/>
    <n v="1080.21"/>
  </r>
  <r>
    <s v="AL"/>
    <x v="0"/>
    <s v="Cleburne"/>
    <n v="15056"/>
    <n v="560.1"/>
  </r>
  <r>
    <s v="AL"/>
    <x v="0"/>
    <s v="Hale"/>
    <n v="14785"/>
    <n v="643.94000000000005"/>
  </r>
  <r>
    <s v="AL"/>
    <x v="0"/>
    <s v="Clay"/>
    <n v="14236"/>
    <n v="603.96"/>
  </r>
  <r>
    <s v="AL"/>
    <x v="0"/>
    <s v="Lamar"/>
    <n v="13972"/>
    <n v="604.85"/>
  </r>
  <r>
    <s v="AL"/>
    <x v="0"/>
    <s v="Crenshaw"/>
    <n v="13194"/>
    <n v="608.84"/>
  </r>
  <r>
    <s v="AL"/>
    <x v="0"/>
    <s v="Choctaw"/>
    <n v="12665"/>
    <n v="913.5"/>
  </r>
  <r>
    <s v="AL"/>
    <x v="0"/>
    <s v="Sumter"/>
    <n v="12345"/>
    <n v="903.89"/>
  </r>
  <r>
    <s v="AL"/>
    <x v="0"/>
    <s v="Conecuh"/>
    <n v="11597"/>
    <n v="850.16"/>
  </r>
  <r>
    <s v="AL"/>
    <x v="0"/>
    <s v="Wilcox"/>
    <n v="10600"/>
    <n v="888.5"/>
  </r>
  <r>
    <s v="AL"/>
    <x v="0"/>
    <s v="Coosa"/>
    <n v="10387"/>
    <n v="650.92999999999995"/>
  </r>
  <r>
    <s v="AL"/>
    <x v="0"/>
    <s v="Bullock"/>
    <n v="10357"/>
    <n v="622.79999999999995"/>
  </r>
  <r>
    <s v="AL"/>
    <x v="0"/>
    <s v="Lowndes"/>
    <n v="10311"/>
    <n v="715.91"/>
  </r>
  <r>
    <s v="AL"/>
    <x v="0"/>
    <s v="Perry"/>
    <n v="8511"/>
    <n v="719.66"/>
  </r>
  <r>
    <s v="AL"/>
    <x v="0"/>
    <s v="Greene"/>
    <n v="7730"/>
    <n v="647.11"/>
  </r>
  <r>
    <s v="AK"/>
    <x v="1"/>
    <s v="Aleutians East"/>
    <n v="3420"/>
    <n v="6985"/>
  </r>
  <r>
    <s v="AK"/>
    <x v="1"/>
    <s v="Aleutians West"/>
    <n v="5232"/>
    <n v="4393"/>
  </r>
  <r>
    <s v="AK"/>
    <x v="1"/>
    <s v="Anchorage"/>
    <n v="291247"/>
    <n v="1707"/>
  </r>
  <r>
    <s v="AK"/>
    <x v="1"/>
    <s v="Bethel"/>
    <n v="18666"/>
    <n v="40627"/>
  </r>
  <r>
    <s v="AK"/>
    <x v="1"/>
    <s v="Bristol Bay"/>
    <n v="844"/>
    <n v="482"/>
  </r>
  <r>
    <s v="AK"/>
    <x v="1"/>
    <s v="Chugach"/>
    <n v="7102"/>
    <n v="9530"/>
  </r>
  <r>
    <s v="AK"/>
    <x v="1"/>
    <s v="Copper River"/>
    <n v="2617"/>
    <n v="24692"/>
  </r>
  <r>
    <s v="AK"/>
    <x v="1"/>
    <s v="Denali"/>
    <n v="1619"/>
    <n v="12641"/>
  </r>
  <r>
    <s v="AK"/>
    <x v="1"/>
    <s v="Dillingham"/>
    <n v="4857"/>
    <n v="18334"/>
  </r>
  <r>
    <s v="AK"/>
    <x v="1"/>
    <s v="Fairbanks North Star"/>
    <n v="95655"/>
    <n v="7335"/>
  </r>
  <r>
    <s v="AK"/>
    <x v="1"/>
    <s v="Haines"/>
    <n v="2080"/>
    <n v="2343"/>
  </r>
  <r>
    <s v="AK"/>
    <x v="1"/>
    <s v="Hoonah–Angoon"/>
    <n v="2365"/>
    <n v="6555"/>
  </r>
  <r>
    <s v="AK"/>
    <x v="1"/>
    <s v="Juneau"/>
    <n v="32255"/>
    <n v="2704"/>
  </r>
  <r>
    <s v="AK"/>
    <x v="1"/>
    <s v="Kenai Peninsula"/>
    <n v="58799"/>
    <n v="16017"/>
  </r>
  <r>
    <s v="AK"/>
    <x v="1"/>
    <s v="Ketchikan Gateway"/>
    <n v="13948"/>
    <n v="4857"/>
  </r>
  <r>
    <s v="AK"/>
    <x v="1"/>
    <s v="Kodiak Island"/>
    <n v="13101"/>
    <n v="6689"/>
  </r>
  <r>
    <s v="AK"/>
    <x v="1"/>
    <s v="Kusilvak"/>
    <n v="8368"/>
    <n v="17077"/>
  </r>
  <r>
    <s v="AK"/>
    <x v="1"/>
    <s v="Lake and Peninsula"/>
    <n v="1476"/>
    <n v="23832"/>
  </r>
  <r>
    <s v="AK"/>
    <x v="1"/>
    <s v="Matanuska-Susitna"/>
    <n v="107081"/>
    <n v="24707"/>
  </r>
  <r>
    <s v="AK"/>
    <x v="1"/>
    <s v="Nome"/>
    <n v="10046"/>
    <n v="22969"/>
  </r>
  <r>
    <s v="AK"/>
    <x v="1"/>
    <s v="North Slope"/>
    <n v="11031"/>
    <n v="88824"/>
  </r>
  <r>
    <s v="AK"/>
    <x v="1"/>
    <s v="Northwest Arctic"/>
    <n v="7793"/>
    <n v="35663"/>
  </r>
  <r>
    <s v="AK"/>
    <x v="1"/>
    <s v="Petersburg"/>
    <n v="3398"/>
    <n v="2901"/>
  </r>
  <r>
    <s v="AK"/>
    <x v="1"/>
    <s v="Prince of Wales – Hyder"/>
    <n v="5753"/>
    <n v="5268"/>
  </r>
  <r>
    <s v="AK"/>
    <x v="1"/>
    <s v="Sitka"/>
    <n v="8458"/>
    <n v="2870"/>
  </r>
  <r>
    <s v="AK"/>
    <x v="1"/>
    <s v="Skagway"/>
    <n v="1240"/>
    <n v="434"/>
  </r>
  <r>
    <s v="AK"/>
    <x v="1"/>
    <s v="Southeast Fairbanks"/>
    <n v="6808"/>
    <n v="24831"/>
  </r>
  <r>
    <s v="AK"/>
    <x v="1"/>
    <s v="Wrangell"/>
    <n v="2127"/>
    <n v="2556"/>
  </r>
  <r>
    <s v="AK"/>
    <x v="1"/>
    <s v="Yakutat"/>
    <n v="662"/>
    <n v="7623"/>
  </r>
  <r>
    <s v="AK"/>
    <x v="1"/>
    <s v="Yukon–Koyukuk"/>
    <n v="5343"/>
    <n v="145576"/>
  </r>
  <r>
    <s v="AS"/>
    <x v="2"/>
    <s v="Eastern District"/>
    <n v="17059"/>
    <n v="25.69"/>
  </r>
  <r>
    <s v="AS"/>
    <x v="2"/>
    <s v="Manu'a District"/>
    <n v="832"/>
    <n v="22.29"/>
  </r>
  <r>
    <s v="AS"/>
    <x v="2"/>
    <s v="Rose Atoll (Rose Island)"/>
    <n v="0"/>
    <n v="0.02"/>
  </r>
  <r>
    <s v="AS"/>
    <x v="2"/>
    <s v="Swains Island"/>
    <n v="0"/>
    <n v="0.94"/>
  </r>
  <r>
    <s v="AS"/>
    <x v="2"/>
    <s v="Western District"/>
    <n v="31819"/>
    <n v="27.51"/>
  </r>
  <r>
    <s v="AZ"/>
    <x v="3"/>
    <s v="Apache"/>
    <n v="66021"/>
    <n v="11218"/>
  </r>
  <r>
    <s v="AZ"/>
    <x v="3"/>
    <s v="Cochise"/>
    <n v="125447"/>
    <n v="6219"/>
  </r>
  <r>
    <s v="AZ"/>
    <x v="3"/>
    <s v="Coconino"/>
    <n v="145101"/>
    <n v="18661"/>
  </r>
  <r>
    <s v="AZ"/>
    <x v="3"/>
    <s v="Gila"/>
    <n v="53272"/>
    <n v="4796"/>
  </r>
  <r>
    <s v="AZ"/>
    <x v="3"/>
    <s v="Graham"/>
    <n v="38533"/>
    <n v="4641"/>
  </r>
  <r>
    <s v="AZ"/>
    <x v="3"/>
    <s v="Greenlee"/>
    <n v="9563"/>
    <n v="1848"/>
  </r>
  <r>
    <s v="AZ"/>
    <x v="3"/>
    <s v="La Paz"/>
    <n v="16557"/>
    <n v="4513"/>
  </r>
  <r>
    <s v="AZ"/>
    <x v="3"/>
    <s v="Maricopa"/>
    <n v="4420568"/>
    <n v="9224"/>
  </r>
  <r>
    <s v="AZ"/>
    <x v="3"/>
    <s v="Mohave"/>
    <n v="213267"/>
    <n v="13470"/>
  </r>
  <r>
    <s v="AZ"/>
    <x v="3"/>
    <s v="Navajo"/>
    <n v="106717"/>
    <n v="9959"/>
  </r>
  <r>
    <s v="AZ"/>
    <x v="3"/>
    <s v="Pima"/>
    <n v="1043433"/>
    <n v="9189"/>
  </r>
  <r>
    <s v="AZ"/>
    <x v="3"/>
    <s v="Pinal"/>
    <n v="425264"/>
    <n v="5374"/>
  </r>
  <r>
    <s v="AZ"/>
    <x v="3"/>
    <s v="Santa Cruz"/>
    <n v="47669"/>
    <n v="1238"/>
  </r>
  <r>
    <s v="AZ"/>
    <x v="3"/>
    <s v="Yavapai"/>
    <n v="236209"/>
    <n v="8128"/>
  </r>
  <r>
    <s v="AZ"/>
    <x v="3"/>
    <s v="Yuma"/>
    <n v="203881"/>
    <n v="5519"/>
  </r>
  <r>
    <s v="AR"/>
    <x v="4"/>
    <s v="Arkansas"/>
    <n v="17149"/>
    <n v="1033.79"/>
  </r>
  <r>
    <s v="AR"/>
    <x v="4"/>
    <s v="Ashley"/>
    <n v="19062"/>
    <n v="939.08"/>
  </r>
  <r>
    <s v="AR"/>
    <x v="4"/>
    <s v="Baxter"/>
    <n v="41627"/>
    <n v="586.74"/>
  </r>
  <r>
    <s v="AR"/>
    <x v="4"/>
    <s v="Benton"/>
    <n v="284333"/>
    <n v="884.86"/>
  </r>
  <r>
    <s v="AR"/>
    <x v="4"/>
    <s v="Boone"/>
    <n v="37373"/>
    <n v="601.82000000000005"/>
  </r>
  <r>
    <s v="AR"/>
    <x v="4"/>
    <s v="Bradley"/>
    <n v="10545"/>
    <n v="654.38"/>
  </r>
  <r>
    <s v="AR"/>
    <x v="4"/>
    <s v="Calhoun"/>
    <n v="4739"/>
    <n v="632.54"/>
  </r>
  <r>
    <s v="AR"/>
    <x v="4"/>
    <s v="Carroll"/>
    <n v="28260"/>
    <n v="638.80999999999995"/>
  </r>
  <r>
    <s v="AR"/>
    <x v="4"/>
    <s v="Chicot"/>
    <n v="10208"/>
    <n v="690.88"/>
  </r>
  <r>
    <s v="AR"/>
    <x v="4"/>
    <s v="Clark"/>
    <n v="21446"/>
    <n v="882.6"/>
  </r>
  <r>
    <s v="AR"/>
    <x v="4"/>
    <s v="Clay"/>
    <n v="14552"/>
    <n v="641.12"/>
  </r>
  <r>
    <s v="AR"/>
    <x v="4"/>
    <s v="Cleburne"/>
    <n v="24711"/>
    <n v="591.91"/>
  </r>
  <r>
    <s v="AR"/>
    <x v="4"/>
    <s v="Cleveland"/>
    <n v="7550"/>
    <n v="598.79999999999995"/>
  </r>
  <r>
    <s v="AR"/>
    <x v="4"/>
    <s v="Columbia"/>
    <n v="22801"/>
    <n v="766.86"/>
  </r>
  <r>
    <s v="AR"/>
    <x v="4"/>
    <s v="Conway"/>
    <n v="20715"/>
    <n v="566.66"/>
  </r>
  <r>
    <s v="AR"/>
    <x v="4"/>
    <s v="Craighead"/>
    <n v="111231"/>
    <n v="712.98"/>
  </r>
  <r>
    <s v="AR"/>
    <x v="4"/>
    <s v="Crawford"/>
    <n v="60133"/>
    <n v="604.20000000000005"/>
  </r>
  <r>
    <s v="AR"/>
    <x v="4"/>
    <s v="Crittenden"/>
    <n v="48163"/>
    <n v="636.74"/>
  </r>
  <r>
    <s v="AR"/>
    <x v="4"/>
    <s v="Cross"/>
    <n v="16833"/>
    <n v="622.33000000000004"/>
  </r>
  <r>
    <s v="AR"/>
    <x v="4"/>
    <s v="Dallas"/>
    <n v="6482"/>
    <n v="668.16"/>
  </r>
  <r>
    <s v="AR"/>
    <x v="4"/>
    <s v="Desha"/>
    <n v="11395"/>
    <n v="819.52"/>
  </r>
  <r>
    <s v="AR"/>
    <x v="4"/>
    <s v="Drew"/>
    <n v="17350"/>
    <n v="835.65"/>
  </r>
  <r>
    <s v="AR"/>
    <x v="4"/>
    <s v="Faulkner"/>
    <n v="123498"/>
    <n v="664.01"/>
  </r>
  <r>
    <s v="AR"/>
    <x v="4"/>
    <s v="Franklin"/>
    <n v="17097"/>
    <n v="619.69000000000005"/>
  </r>
  <r>
    <s v="AR"/>
    <x v="4"/>
    <s v="Fulton"/>
    <n v="12075"/>
    <n v="620.32000000000005"/>
  </r>
  <r>
    <s v="AR"/>
    <x v="4"/>
    <s v="Garland"/>
    <n v="100180"/>
    <n v="734.57"/>
  </r>
  <r>
    <s v="AR"/>
    <x v="4"/>
    <s v="Grant"/>
    <n v="17958"/>
    <n v="633.01"/>
  </r>
  <r>
    <s v="AR"/>
    <x v="4"/>
    <s v="Greene"/>
    <n v="45736"/>
    <n v="579.65"/>
  </r>
  <r>
    <s v="AR"/>
    <x v="4"/>
    <s v="Hempstead"/>
    <n v="20065"/>
    <n v="741.36"/>
  </r>
  <r>
    <s v="AR"/>
    <x v="4"/>
    <s v="Hot Spring"/>
    <n v="33040"/>
    <n v="622.16"/>
  </r>
  <r>
    <s v="AR"/>
    <x v="4"/>
    <s v="Howard"/>
    <n v="12785"/>
    <n v="595.20000000000005"/>
  </r>
  <r>
    <s v="AR"/>
    <x v="4"/>
    <s v="Independence"/>
    <n v="37938"/>
    <n v="771.57"/>
  </r>
  <r>
    <s v="AR"/>
    <x v="4"/>
    <s v="Izard"/>
    <n v="13577"/>
    <n v="584.02"/>
  </r>
  <r>
    <s v="AR"/>
    <x v="4"/>
    <s v="Jackson"/>
    <n v="16755"/>
    <n v="641.45000000000005"/>
  </r>
  <r>
    <s v="AR"/>
    <x v="4"/>
    <s v="Jefferson"/>
    <n v="67260"/>
    <n v="913.7"/>
  </r>
  <r>
    <s v="AR"/>
    <x v="4"/>
    <s v="Johnson"/>
    <n v="25749"/>
    <n v="682.74"/>
  </r>
  <r>
    <s v="AR"/>
    <x v="4"/>
    <s v="Lafayette"/>
    <n v="6308"/>
    <n v="545.07000000000005"/>
  </r>
  <r>
    <s v="AR"/>
    <x v="4"/>
    <s v="Lawrence"/>
    <n v="16216"/>
    <n v="592.34"/>
  </r>
  <r>
    <s v="AR"/>
    <x v="4"/>
    <s v="Lee"/>
    <n v="8600"/>
    <n v="619.47"/>
  </r>
  <r>
    <s v="AR"/>
    <x v="4"/>
    <s v="Lincoln"/>
    <n v="12941"/>
    <n v="572.16999999999996"/>
  </r>
  <r>
    <s v="AR"/>
    <x v="4"/>
    <s v="Little River"/>
    <n v="12026"/>
    <n v="564.87"/>
  </r>
  <r>
    <s v="AR"/>
    <x v="4"/>
    <s v="Logan"/>
    <n v="21131"/>
    <n v="731.5"/>
  </r>
  <r>
    <s v="AR"/>
    <x v="4"/>
    <s v="Lonoke"/>
    <n v="74015"/>
    <n v="802.43"/>
  </r>
  <r>
    <s v="AR"/>
    <x v="4"/>
    <s v="Madison"/>
    <n v="16521"/>
    <n v="837.06"/>
  </r>
  <r>
    <s v="AR"/>
    <x v="4"/>
    <s v="Marion"/>
    <n v="16826"/>
    <n v="640.39"/>
  </r>
  <r>
    <s v="AR"/>
    <x v="4"/>
    <s v="Miller"/>
    <n v="42600"/>
    <n v="637.48"/>
  </r>
  <r>
    <s v="AR"/>
    <x v="4"/>
    <s v="Mississippi"/>
    <n v="40685"/>
    <n v="919.73"/>
  </r>
  <r>
    <s v="AR"/>
    <x v="4"/>
    <s v="Monroe"/>
    <n v="6799"/>
    <n v="621.41"/>
  </r>
  <r>
    <s v="AR"/>
    <x v="4"/>
    <s v="Montgomery"/>
    <n v="8484"/>
    <n v="800.29"/>
  </r>
  <r>
    <s v="AR"/>
    <x v="4"/>
    <s v="Nevada"/>
    <n v="8310"/>
    <n v="620.78"/>
  </r>
  <r>
    <s v="AR"/>
    <x v="4"/>
    <s v="Newton"/>
    <n v="7225"/>
    <n v="823.18"/>
  </r>
  <r>
    <s v="AR"/>
    <x v="4"/>
    <s v="Ouachita"/>
    <n v="22650"/>
    <n v="739.63"/>
  </r>
  <r>
    <s v="AR"/>
    <x v="4"/>
    <s v="Perry"/>
    <n v="10019"/>
    <n v="560.47"/>
  </r>
  <r>
    <s v="AR"/>
    <x v="4"/>
    <s v="Phillips"/>
    <n v="16568"/>
    <n v="727.29"/>
  </r>
  <r>
    <s v="AR"/>
    <x v="4"/>
    <s v="Pike"/>
    <n v="10171"/>
    <n v="613.88"/>
  </r>
  <r>
    <s v="AR"/>
    <x v="4"/>
    <s v="Poinsett"/>
    <n v="22965"/>
    <n v="763.39"/>
  </r>
  <r>
    <s v="AR"/>
    <x v="4"/>
    <s v="Polk"/>
    <n v="19221"/>
    <n v="862.42"/>
  </r>
  <r>
    <s v="AR"/>
    <x v="4"/>
    <s v="Pope"/>
    <n v="63381"/>
    <n v="830.79"/>
  </r>
  <r>
    <s v="AR"/>
    <x v="4"/>
    <s v="Prairie"/>
    <n v="8282"/>
    <n v="675.76"/>
  </r>
  <r>
    <s v="AR"/>
    <x v="4"/>
    <s v="Pulaski"/>
    <n v="399125"/>
    <n v="807.84"/>
  </r>
  <r>
    <s v="AR"/>
    <x v="4"/>
    <s v="Randolph"/>
    <n v="18571"/>
    <n v="656.04"/>
  </r>
  <r>
    <s v="AR"/>
    <x v="4"/>
    <s v="St. Francis"/>
    <n v="23090"/>
    <n v="642.4"/>
  </r>
  <r>
    <s v="AR"/>
    <x v="4"/>
    <s v="Saline"/>
    <n v="123416"/>
    <n v="730.46"/>
  </r>
  <r>
    <s v="AR"/>
    <x v="4"/>
    <s v="Scott"/>
    <n v="9836"/>
    <n v="898.09"/>
  </r>
  <r>
    <s v="AR"/>
    <x v="4"/>
    <s v="Searcy"/>
    <n v="7828"/>
    <n v="668.51"/>
  </r>
  <r>
    <s v="AR"/>
    <x v="4"/>
    <s v="Sebastian"/>
    <n v="127799"/>
    <n v="546.04"/>
  </r>
  <r>
    <s v="AR"/>
    <x v="4"/>
    <s v="Sevier"/>
    <n v="15839"/>
    <n v="581.35"/>
  </r>
  <r>
    <s v="AR"/>
    <x v="4"/>
    <s v="Sharp"/>
    <n v="17271"/>
    <n v="606.35"/>
  </r>
  <r>
    <s v="AR"/>
    <x v="4"/>
    <s v="Stone"/>
    <n v="12359"/>
    <n v="609.42999999999995"/>
  </r>
  <r>
    <s v="AR"/>
    <x v="4"/>
    <s v="Union"/>
    <n v="39054"/>
    <n v="1055.27"/>
  </r>
  <r>
    <s v="AR"/>
    <x v="4"/>
    <s v="Van Buren"/>
    <n v="15796"/>
    <n v="724.32"/>
  </r>
  <r>
    <s v="AR"/>
    <x v="4"/>
    <s v="Washington"/>
    <n v="245871"/>
    <n v="951.72"/>
  </r>
  <r>
    <s v="AR"/>
    <x v="4"/>
    <s v="White"/>
    <n v="76822"/>
    <n v="1042.3599999999999"/>
  </r>
  <r>
    <s v="AR"/>
    <x v="4"/>
    <s v="Woodruff"/>
    <n v="6269"/>
    <n v="594.04999999999995"/>
  </r>
  <r>
    <s v="AR"/>
    <x v="4"/>
    <s v="Yell"/>
    <n v="20263"/>
    <n v="948.84"/>
  </r>
  <r>
    <s v="CA"/>
    <x v="5"/>
    <s v="Alameda"/>
    <n v="1682353"/>
    <n v="738"/>
  </r>
  <r>
    <s v="CA"/>
    <x v="5"/>
    <s v="Alpine"/>
    <n v="1204"/>
    <n v="739"/>
  </r>
  <r>
    <s v="CA"/>
    <x v="5"/>
    <s v="Amador"/>
    <n v="40474"/>
    <n v="606"/>
  </r>
  <r>
    <s v="CA"/>
    <x v="5"/>
    <s v="Butte"/>
    <n v="211632"/>
    <n v="1640"/>
  </r>
  <r>
    <s v="CA"/>
    <x v="5"/>
    <s v="Calaveras"/>
    <n v="45292"/>
    <n v="1020"/>
  </r>
  <r>
    <s v="CA"/>
    <x v="5"/>
    <s v="Colusa"/>
    <n v="21839"/>
    <n v="1151"/>
  </r>
  <r>
    <s v="CA"/>
    <x v="5"/>
    <s v="Contra Costa"/>
    <n v="1165927"/>
    <n v="720"/>
  </r>
  <r>
    <s v="CA"/>
    <x v="5"/>
    <s v="Del Norte"/>
    <n v="27743"/>
    <n v="1008"/>
  </r>
  <r>
    <s v="CA"/>
    <x v="5"/>
    <s v="El Dorado"/>
    <n v="191185"/>
    <n v="1712"/>
  </r>
  <r>
    <s v="CA"/>
    <x v="5"/>
    <s v="Fresno"/>
    <n v="1008654"/>
    <n v="5963"/>
  </r>
  <r>
    <s v="CA"/>
    <x v="5"/>
    <s v="Glenn"/>
    <n v="28917"/>
    <n v="1315"/>
  </r>
  <r>
    <s v="CA"/>
    <x v="5"/>
    <s v="Humboldt"/>
    <n v="136463"/>
    <n v="3573"/>
  </r>
  <r>
    <s v="CA"/>
    <x v="5"/>
    <s v="Imperial"/>
    <n v="179702"/>
    <n v="4175"/>
  </r>
  <r>
    <s v="CA"/>
    <x v="5"/>
    <s v="Inyo"/>
    <n v="19016"/>
    <n v="10192"/>
  </r>
  <r>
    <s v="CA"/>
    <x v="5"/>
    <s v="Kern"/>
    <n v="909235"/>
    <n v="8142"/>
  </r>
  <r>
    <s v="CA"/>
    <x v="5"/>
    <s v="Kings"/>
    <n v="152486"/>
    <n v="1390"/>
  </r>
  <r>
    <s v="CA"/>
    <x v="5"/>
    <s v="Lake"/>
    <n v="68163"/>
    <n v="1258"/>
  </r>
  <r>
    <s v="CA"/>
    <x v="5"/>
    <s v="Lassen"/>
    <n v="32730"/>
    <n v="4558"/>
  </r>
  <r>
    <s v="CA"/>
    <x v="5"/>
    <s v="Los Angeles"/>
    <n v="10014009"/>
    <n v="4060"/>
  </r>
  <r>
    <s v="CA"/>
    <x v="5"/>
    <s v="Madera"/>
    <n v="156255"/>
    <n v="2138"/>
  </r>
  <r>
    <s v="CA"/>
    <x v="5"/>
    <s v="Marin"/>
    <n v="262321"/>
    <n v="520"/>
  </r>
  <r>
    <s v="CA"/>
    <x v="5"/>
    <s v="Mariposa"/>
    <n v="17131"/>
    <n v="1451"/>
  </r>
  <r>
    <s v="CA"/>
    <x v="5"/>
    <s v="Mendocino"/>
    <n v="91601"/>
    <n v="3509"/>
  </r>
  <r>
    <s v="CA"/>
    <x v="5"/>
    <s v="Merced"/>
    <n v="281202"/>
    <n v="1929"/>
  </r>
  <r>
    <s v="CA"/>
    <x v="5"/>
    <s v="Modoc"/>
    <n v="8700"/>
    <n v="3944"/>
  </r>
  <r>
    <s v="CA"/>
    <x v="5"/>
    <s v="Mono"/>
    <n v="13195"/>
    <n v="3044"/>
  </r>
  <r>
    <s v="CA"/>
    <x v="5"/>
    <s v="Monterey"/>
    <n v="439035"/>
    <n v="3322"/>
  </r>
  <r>
    <s v="CA"/>
    <x v="5"/>
    <s v="Napa"/>
    <n v="138019"/>
    <n v="754"/>
  </r>
  <r>
    <s v="CA"/>
    <x v="5"/>
    <s v="Nevada"/>
    <n v="102241"/>
    <n v="958"/>
  </r>
  <r>
    <s v="CA"/>
    <x v="5"/>
    <s v="Orange"/>
    <n v="3186989"/>
    <n v="948"/>
  </r>
  <r>
    <s v="CA"/>
    <x v="5"/>
    <s v="Placer"/>
    <n v="404739"/>
    <n v="1407"/>
  </r>
  <r>
    <s v="CA"/>
    <x v="5"/>
    <s v="Plumas"/>
    <n v="19790"/>
    <n v="2554"/>
  </r>
  <r>
    <s v="CA"/>
    <x v="5"/>
    <s v="Riverside"/>
    <n v="2418185"/>
    <n v="7208"/>
  </r>
  <r>
    <s v="CA"/>
    <x v="5"/>
    <s v="Sacramento"/>
    <n v="1585055"/>
    <n v="966"/>
  </r>
  <r>
    <s v="CA"/>
    <x v="5"/>
    <s v="San Benito"/>
    <n v="64209"/>
    <n v="1389"/>
  </r>
  <r>
    <s v="CA"/>
    <x v="5"/>
    <s v="San Bernardino"/>
    <n v="2181654"/>
    <n v="20062"/>
  </r>
  <r>
    <s v="CA"/>
    <x v="5"/>
    <s v="San Diego"/>
    <n v="3298634"/>
    <n v="4204"/>
  </r>
  <r>
    <s v="CA"/>
    <x v="5"/>
    <s v="San Francisco"/>
    <n v="873965"/>
    <n v="47"/>
  </r>
  <r>
    <s v="CA"/>
    <x v="5"/>
    <s v="San Joaquin"/>
    <n v="779233"/>
    <n v="1399"/>
  </r>
  <r>
    <s v="CA"/>
    <x v="5"/>
    <s v="San Luis Obispo"/>
    <n v="282424"/>
    <n v="3304"/>
  </r>
  <r>
    <s v="CA"/>
    <x v="5"/>
    <s v="San Mateo"/>
    <n v="764442"/>
    <n v="449"/>
  </r>
  <r>
    <s v="CA"/>
    <x v="5"/>
    <s v="Santa Barbara"/>
    <n v="448229"/>
    <n v="2738"/>
  </r>
  <r>
    <s v="CA"/>
    <x v="5"/>
    <s v="Santa Clara"/>
    <n v="1936259"/>
    <n v="1291"/>
  </r>
  <r>
    <s v="CA"/>
    <x v="5"/>
    <s v="Santa Cruz"/>
    <n v="270861"/>
    <n v="446"/>
  </r>
  <r>
    <s v="CA"/>
    <x v="5"/>
    <s v="Shasta"/>
    <n v="182155"/>
    <n v="3786"/>
  </r>
  <r>
    <s v="CA"/>
    <x v="5"/>
    <s v="Sierra"/>
    <n v="3236"/>
    <n v="953"/>
  </r>
  <r>
    <s v="CA"/>
    <x v="5"/>
    <s v="Siskiyou"/>
    <n v="44076"/>
    <n v="6287"/>
  </r>
  <r>
    <s v="CA"/>
    <x v="5"/>
    <s v="Solano"/>
    <n v="453491"/>
    <n v="828"/>
  </r>
  <r>
    <s v="CA"/>
    <x v="5"/>
    <s v="Sonoma"/>
    <n v="488863"/>
    <n v="1576"/>
  </r>
  <r>
    <s v="CA"/>
    <x v="5"/>
    <s v="Stanislaus"/>
    <n v="552878"/>
    <n v="1495"/>
  </r>
  <r>
    <s v="CA"/>
    <x v="5"/>
    <s v="Sutter"/>
    <n v="99633"/>
    <n v="603"/>
  </r>
  <r>
    <s v="CA"/>
    <x v="5"/>
    <s v="Tehama"/>
    <n v="65829"/>
    <n v="2951"/>
  </r>
  <r>
    <s v="CA"/>
    <x v="5"/>
    <s v="Trinity"/>
    <n v="16112"/>
    <n v="3179"/>
  </r>
  <r>
    <s v="CA"/>
    <x v="5"/>
    <s v="Tulare"/>
    <n v="473117"/>
    <n v="4824"/>
  </r>
  <r>
    <s v="CA"/>
    <x v="5"/>
    <s v="Tuolumne"/>
    <n v="55620"/>
    <n v="2236"/>
  </r>
  <r>
    <s v="CA"/>
    <x v="5"/>
    <s v="Ventura"/>
    <n v="843843"/>
    <n v="1846"/>
  </r>
  <r>
    <s v="CA"/>
    <x v="5"/>
    <s v="Yolo"/>
    <n v="216403"/>
    <n v="1012"/>
  </r>
  <r>
    <s v="CA"/>
    <x v="5"/>
    <s v="Yuba"/>
    <n v="81575"/>
    <n v="630"/>
  </r>
  <r>
    <s v="CO"/>
    <x v="6"/>
    <s v="Adams"/>
    <n v="519572"/>
    <n v="1182.29"/>
  </r>
  <r>
    <s v="CO"/>
    <x v="6"/>
    <s v="Alamosa"/>
    <n v="16376"/>
    <n v="723.21"/>
  </r>
  <r>
    <s v="CO"/>
    <x v="6"/>
    <s v="Arapahoe"/>
    <n v="655070"/>
    <n v="804.41"/>
  </r>
  <r>
    <s v="CO"/>
    <x v="6"/>
    <s v="Archuleta"/>
    <n v="13359"/>
    <n v="1354.53"/>
  </r>
  <r>
    <s v="CO"/>
    <x v="6"/>
    <s v="Baca"/>
    <n v="3506"/>
    <n v="2558.48"/>
  </r>
  <r>
    <s v="CO"/>
    <x v="6"/>
    <s v="Bent"/>
    <n v="5650"/>
    <n v="1541.07"/>
  </r>
  <r>
    <s v="CO"/>
    <x v="6"/>
    <s v="Boulder"/>
    <n v="330758"/>
    <n v="740.48"/>
  </r>
  <r>
    <s v="CO"/>
    <x v="6"/>
    <s v="Broomfield"/>
    <n v="74112"/>
    <n v="33.57"/>
  </r>
  <r>
    <s v="CO"/>
    <x v="6"/>
    <s v="Chaffee"/>
    <n v="19476"/>
    <n v="1014.12"/>
  </r>
  <r>
    <s v="CO"/>
    <x v="6"/>
    <s v="Cheyenne"/>
    <n v="1748"/>
    <n v="1781.9"/>
  </r>
  <r>
    <s v="CO"/>
    <x v="6"/>
    <s v="Clear Creek"/>
    <n v="9397"/>
    <n v="396.53"/>
  </r>
  <r>
    <s v="CO"/>
    <x v="6"/>
    <s v="Conejos"/>
    <n v="7461"/>
    <n v="1290.22"/>
  </r>
  <r>
    <s v="CO"/>
    <x v="6"/>
    <s v="Costilla"/>
    <n v="3499"/>
    <n v="1229.3800000000001"/>
  </r>
  <r>
    <s v="CO"/>
    <x v="6"/>
    <s v="Crowley"/>
    <n v="5922"/>
    <n v="800.27"/>
  </r>
  <r>
    <s v="CO"/>
    <x v="6"/>
    <s v="Custer"/>
    <n v="4704"/>
    <n v="739.24"/>
  </r>
  <r>
    <s v="CO"/>
    <x v="6"/>
    <s v="Delta"/>
    <n v="31196"/>
    <n v="1149.44"/>
  </r>
  <r>
    <s v="CO"/>
    <x v="6"/>
    <s v="Denver"/>
    <n v="715522"/>
    <n v="155.66"/>
  </r>
  <r>
    <s v="CO"/>
    <x v="6"/>
    <s v="Dolores"/>
    <n v="2326"/>
    <n v="1076.93"/>
  </r>
  <r>
    <s v="CO"/>
    <x v="6"/>
    <s v="Douglas"/>
    <n v="357978"/>
    <n v="842.3"/>
  </r>
  <r>
    <s v="CO"/>
    <x v="6"/>
    <s v="Eagle"/>
    <n v="55731"/>
    <n v="1700.76"/>
  </r>
  <r>
    <s v="CO"/>
    <x v="6"/>
    <s v="El Paso"/>
    <n v="730395"/>
    <n v="2128.6"/>
  </r>
  <r>
    <s v="CO"/>
    <x v="6"/>
    <s v="Elbert"/>
    <n v="26062"/>
    <n v="1849.08"/>
  </r>
  <r>
    <s v="CO"/>
    <x v="6"/>
    <s v="Fremont"/>
    <n v="48939"/>
    <n v="1533.09"/>
  </r>
  <r>
    <s v="CO"/>
    <x v="6"/>
    <s v="Garfield"/>
    <n v="61685"/>
    <n v="2958.23"/>
  </r>
  <r>
    <s v="CO"/>
    <x v="6"/>
    <s v="Gilpin"/>
    <n v="5808"/>
    <n v="150.15"/>
  </r>
  <r>
    <s v="CO"/>
    <x v="6"/>
    <s v="Grand"/>
    <n v="15717"/>
    <n v="1868.53"/>
  </r>
  <r>
    <s v="CO"/>
    <x v="6"/>
    <s v="Gunnison"/>
    <n v="16918"/>
    <n v="3259.22"/>
  </r>
  <r>
    <s v="CO"/>
    <x v="6"/>
    <s v="Hinsdale"/>
    <n v="788"/>
    <n v="1123.3499999999999"/>
  </r>
  <r>
    <s v="CO"/>
    <x v="6"/>
    <s v="Huerfano"/>
    <n v="6820"/>
    <n v="1592.37"/>
  </r>
  <r>
    <s v="CO"/>
    <x v="6"/>
    <s v="Jackson"/>
    <n v="1379"/>
    <n v="1619.75"/>
  </r>
  <r>
    <s v="CO"/>
    <x v="6"/>
    <s v="Jefferson"/>
    <n v="582910"/>
    <n v="772.85"/>
  </r>
  <r>
    <s v="CO"/>
    <x v="6"/>
    <s v="Kiowa"/>
    <n v="1446"/>
    <n v="1785.9"/>
  </r>
  <r>
    <s v="CO"/>
    <x v="6"/>
    <s v="Kit Carson"/>
    <n v="7087"/>
    <n v="2162.4299999999998"/>
  </r>
  <r>
    <s v="CO"/>
    <x v="6"/>
    <s v="La Plata"/>
    <n v="55638"/>
    <n v="1700.44"/>
  </r>
  <r>
    <s v="CO"/>
    <x v="6"/>
    <s v="Lake"/>
    <n v="7436"/>
    <n v="383.55"/>
  </r>
  <r>
    <s v="CO"/>
    <x v="6"/>
    <s v="Larimer"/>
    <n v="359066"/>
    <n v="2631.75"/>
  </r>
  <r>
    <s v="CO"/>
    <x v="6"/>
    <s v="Las Animas"/>
    <n v="14555"/>
    <n v="4773.2700000000004"/>
  </r>
  <r>
    <s v="CO"/>
    <x v="6"/>
    <s v="Lincoln"/>
    <n v="5675"/>
    <n v="2585.21"/>
  </r>
  <r>
    <s v="CO"/>
    <x v="6"/>
    <s v="Logan"/>
    <n v="21528"/>
    <n v="1845.31"/>
  </r>
  <r>
    <s v="CO"/>
    <x v="6"/>
    <s v="Mesa"/>
    <n v="155703"/>
    <n v="3345.69"/>
  </r>
  <r>
    <s v="CO"/>
    <x v="6"/>
    <s v="Mineral"/>
    <n v="865"/>
    <n v="878.16"/>
  </r>
  <r>
    <s v="CO"/>
    <x v="6"/>
    <s v="Moffat"/>
    <n v="13292"/>
    <n v="4755.8599999999997"/>
  </r>
  <r>
    <s v="CO"/>
    <x v="6"/>
    <s v="Montezuma"/>
    <n v="25849"/>
    <n v="2035.8"/>
  </r>
  <r>
    <s v="CO"/>
    <x v="6"/>
    <s v="Montrose"/>
    <n v="42679"/>
    <n v="2246.4299999999998"/>
  </r>
  <r>
    <s v="CO"/>
    <x v="6"/>
    <s v="Morgan"/>
    <n v="29111"/>
    <n v="1293.83"/>
  </r>
  <r>
    <s v="CO"/>
    <x v="6"/>
    <s v="Otero"/>
    <n v="18690"/>
    <n v="1267.6600000000001"/>
  </r>
  <r>
    <s v="CO"/>
    <x v="6"/>
    <s v="Ouray"/>
    <n v="4874"/>
    <n v="542.29999999999995"/>
  </r>
  <r>
    <s v="CO"/>
    <x v="6"/>
    <s v="Park"/>
    <n v="17390"/>
    <n v="2209.36"/>
  </r>
  <r>
    <s v="CO"/>
    <x v="6"/>
    <s v="Phillips"/>
    <n v="4530"/>
    <n v="668.3"/>
  </r>
  <r>
    <s v="CO"/>
    <x v="6"/>
    <s v="Pitkin"/>
    <n v="17358"/>
    <n v="970.37"/>
  </r>
  <r>
    <s v="CO"/>
    <x v="6"/>
    <s v="Prowers"/>
    <n v="11999"/>
    <n v="1645.37"/>
  </r>
  <r>
    <s v="CO"/>
    <x v="6"/>
    <s v="Pueblo"/>
    <n v="168162"/>
    <n v="2396.77"/>
  </r>
  <r>
    <s v="CO"/>
    <x v="6"/>
    <s v="Rio Blanco"/>
    <n v="6529"/>
    <n v="3226.24"/>
  </r>
  <r>
    <s v="CO"/>
    <x v="6"/>
    <s v="Rio Grande"/>
    <n v="11539"/>
    <n v="913.1"/>
  </r>
  <r>
    <s v="CO"/>
    <x v="6"/>
    <s v="Routt"/>
    <n v="24829"/>
    <n v="2362.11"/>
  </r>
  <r>
    <s v="CO"/>
    <x v="6"/>
    <s v="Saguache"/>
    <n v="6368"/>
    <n v="3168.32"/>
  </r>
  <r>
    <s v="CO"/>
    <x v="6"/>
    <s v="San Juan"/>
    <n v="705"/>
    <n v="388.99"/>
  </r>
  <r>
    <s v="CO"/>
    <x v="6"/>
    <s v="San Miguel"/>
    <n v="8072"/>
    <n v="1290.76"/>
  </r>
  <r>
    <s v="CO"/>
    <x v="6"/>
    <s v="Sedgwick"/>
    <n v="2404"/>
    <n v="548.83000000000004"/>
  </r>
  <r>
    <s v="CO"/>
    <x v="6"/>
    <s v="Summit"/>
    <n v="31055"/>
    <n v="618.91999999999996"/>
  </r>
  <r>
    <s v="CO"/>
    <x v="6"/>
    <s v="Teller"/>
    <n v="24710"/>
    <n v="558.58000000000004"/>
  </r>
  <r>
    <s v="CO"/>
    <x v="6"/>
    <s v="Washington"/>
    <n v="4817"/>
    <n v="2522.9"/>
  </r>
  <r>
    <s v="CO"/>
    <x v="6"/>
    <s v="Weld"/>
    <n v="328981"/>
    <n v="4013.84"/>
  </r>
  <r>
    <s v="CO"/>
    <x v="6"/>
    <s v="Yuma"/>
    <n v="9988"/>
    <n v="2369.61"/>
  </r>
  <r>
    <s v="CT"/>
    <x v="7"/>
    <s v="Capitol"/>
    <n v="976248"/>
    <n v="1046.08"/>
  </r>
  <r>
    <s v="CT"/>
    <x v="7"/>
    <s v="Fairfield"/>
    <n v="959768"/>
    <n v="837.21"/>
  </r>
  <r>
    <s v="CT"/>
    <x v="7"/>
    <s v="Greater Bridgeport"/>
    <n v="325778"/>
    <n v="149.08000000000001"/>
  </r>
  <r>
    <s v="CT"/>
    <x v="7"/>
    <s v="Hartford"/>
    <n v="899498"/>
    <n v="750.19"/>
  </r>
  <r>
    <s v="CT"/>
    <x v="7"/>
    <s v="Litchfield"/>
    <n v="185186"/>
    <n v="945.24"/>
  </r>
  <r>
    <s v="CT"/>
    <x v="7"/>
    <s v="Lower Connecticut River Valley"/>
    <n v="174225"/>
    <n v="461.57"/>
  </r>
  <r>
    <s v="CT"/>
    <x v="7"/>
    <s v="Middlesex"/>
    <n v="164245"/>
    <n v="439.11"/>
  </r>
  <r>
    <s v="CT"/>
    <x v="7"/>
    <s v="Naugatuck Valley"/>
    <n v="450376"/>
    <n v="421.84"/>
  </r>
  <r>
    <s v="CT"/>
    <x v="7"/>
    <s v="New Haven"/>
    <n v="864835"/>
    <n v="862.22"/>
  </r>
  <r>
    <s v="CT"/>
    <x v="7"/>
    <s v="New London"/>
    <n v="268555"/>
    <n v="772.2"/>
  </r>
  <r>
    <s v="CT"/>
    <x v="7"/>
    <s v="Northeastern Connecticut"/>
    <n v="95348"/>
    <n v="563.20000000000005"/>
  </r>
  <r>
    <s v="CT"/>
    <x v="7"/>
    <s v="Northwest Hills"/>
    <n v="112503"/>
    <n v="808.27"/>
  </r>
  <r>
    <s v="CT"/>
    <x v="7"/>
    <s v="South Central Connecticut"/>
    <n v="570487"/>
    <n v="387.04"/>
  </r>
  <r>
    <s v="CT"/>
    <x v="7"/>
    <s v="Southeastern Connecticut"/>
    <n v="280430"/>
    <n v="662.64"/>
  </r>
  <r>
    <s v="CT"/>
    <x v="7"/>
    <s v="Tolland"/>
    <n v="149788"/>
    <n v="417.1"/>
  </r>
  <r>
    <s v="CT"/>
    <x v="7"/>
    <s v="Western Connecticut"/>
    <n v="620549"/>
    <n v="618.71"/>
  </r>
  <r>
    <s v="CT"/>
    <x v="7"/>
    <s v="Windham"/>
    <n v="116418"/>
    <n v="521.13"/>
  </r>
  <r>
    <s v="DE"/>
    <x v="8"/>
    <s v="Kent"/>
    <n v="181851"/>
    <n v="800"/>
  </r>
  <r>
    <s v="DE"/>
    <x v="8"/>
    <s v="New Castle"/>
    <n v="570719"/>
    <n v="494"/>
  </r>
  <r>
    <s v="DE"/>
    <x v="8"/>
    <s v="Sussex"/>
    <n v="237378"/>
    <n v="1196"/>
  </r>
  <r>
    <s v="DC"/>
    <x v="9"/>
    <s v="District of Columbia"/>
    <n v="689545"/>
    <n v="68.34"/>
  </r>
  <r>
    <s v="FL"/>
    <x v="10"/>
    <s v="Alachua"/>
    <n v="278468"/>
    <n v="874"/>
  </r>
  <r>
    <s v="FL"/>
    <x v="10"/>
    <s v="Baker"/>
    <n v="28259"/>
    <n v="585"/>
  </r>
  <r>
    <s v="FL"/>
    <x v="10"/>
    <s v="Bay"/>
    <n v="175216"/>
    <n v="764"/>
  </r>
  <r>
    <s v="FL"/>
    <x v="10"/>
    <s v="Bradford"/>
    <n v="28303"/>
    <n v="293"/>
  </r>
  <r>
    <s v="FL"/>
    <x v="10"/>
    <s v="Brevard"/>
    <n v="606612"/>
    <n v="1018"/>
  </r>
  <r>
    <s v="FL"/>
    <x v="10"/>
    <s v="Broward"/>
    <n v="1944375"/>
    <n v="1209"/>
  </r>
  <r>
    <s v="FL"/>
    <x v="10"/>
    <s v="Calhoun"/>
    <n v="13648"/>
    <n v="567"/>
  </r>
  <r>
    <s v="FL"/>
    <x v="10"/>
    <s v="Charlotte"/>
    <n v="186847"/>
    <n v="694"/>
  </r>
  <r>
    <s v="FL"/>
    <x v="10"/>
    <s v="Citrus"/>
    <n v="153843"/>
    <n v="584"/>
  </r>
  <r>
    <s v="FL"/>
    <x v="10"/>
    <s v="Clay"/>
    <n v="218245"/>
    <n v="601"/>
  </r>
  <r>
    <s v="FL"/>
    <x v="10"/>
    <s v="Collier"/>
    <n v="375752"/>
    <n v="2026"/>
  </r>
  <r>
    <s v="FL"/>
    <x v="10"/>
    <s v="Columbia"/>
    <n v="69698"/>
    <n v="797"/>
  </r>
  <r>
    <s v="FL"/>
    <x v="10"/>
    <s v="DeSoto"/>
    <n v="33976"/>
    <n v="637"/>
  </r>
  <r>
    <s v="FL"/>
    <x v="10"/>
    <s v="Dixie"/>
    <n v="16759"/>
    <n v="704"/>
  </r>
  <r>
    <s v="FL"/>
    <x v="10"/>
    <s v="Duval"/>
    <n v="995567"/>
    <n v="774"/>
  </r>
  <r>
    <s v="FL"/>
    <x v="10"/>
    <s v="Escambia"/>
    <n v="321905"/>
    <n v="664"/>
  </r>
  <r>
    <s v="FL"/>
    <x v="10"/>
    <s v="Flagler"/>
    <n v="115378"/>
    <n v="485"/>
  </r>
  <r>
    <s v="FL"/>
    <x v="10"/>
    <s v="Franklin"/>
    <n v="12451"/>
    <n v="534"/>
  </r>
  <r>
    <s v="FL"/>
    <x v="10"/>
    <s v="Gadsden"/>
    <n v="43826"/>
    <n v="516"/>
  </r>
  <r>
    <s v="FL"/>
    <x v="10"/>
    <s v="Gilchrist"/>
    <n v="17864"/>
    <n v="349"/>
  </r>
  <r>
    <s v="FL"/>
    <x v="10"/>
    <s v="Glades"/>
    <n v="12126"/>
    <n v="774"/>
  </r>
  <r>
    <s v="FL"/>
    <x v="10"/>
    <s v="Gulf"/>
    <n v="14192"/>
    <n v="565"/>
  </r>
  <r>
    <s v="FL"/>
    <x v="10"/>
    <s v="Hamilton"/>
    <n v="14004"/>
    <n v="515"/>
  </r>
  <r>
    <s v="FL"/>
    <x v="10"/>
    <s v="Hardee"/>
    <n v="25327"/>
    <n v="637"/>
  </r>
  <r>
    <s v="FL"/>
    <x v="10"/>
    <s v="Hendry"/>
    <n v="39619"/>
    <n v="1153"/>
  </r>
  <r>
    <s v="FL"/>
    <x v="10"/>
    <s v="Hernando"/>
    <n v="194515"/>
    <n v="478"/>
  </r>
  <r>
    <s v="FL"/>
    <x v="10"/>
    <s v="Highlands"/>
    <n v="101235"/>
    <n v="1028"/>
  </r>
  <r>
    <s v="FL"/>
    <x v="10"/>
    <s v="Hillsborough"/>
    <n v="1459762"/>
    <n v="1051"/>
  </r>
  <r>
    <s v="FL"/>
    <x v="10"/>
    <s v="Holmes"/>
    <n v="19653"/>
    <n v="482"/>
  </r>
  <r>
    <s v="FL"/>
    <x v="10"/>
    <s v="Indian River"/>
    <n v="159788"/>
    <n v="503"/>
  </r>
  <r>
    <s v="FL"/>
    <x v="10"/>
    <s v="Jackson"/>
    <n v="47319"/>
    <n v="916"/>
  </r>
  <r>
    <s v="FL"/>
    <x v="10"/>
    <s v="Jefferson"/>
    <n v="14510"/>
    <n v="598"/>
  </r>
  <r>
    <s v="FL"/>
    <x v="10"/>
    <s v="Lafayette"/>
    <n v="8226"/>
    <n v="543"/>
  </r>
  <r>
    <s v="FL"/>
    <x v="10"/>
    <s v="Lake"/>
    <n v="383956"/>
    <n v="953"/>
  </r>
  <r>
    <s v="FL"/>
    <x v="10"/>
    <s v="Lee"/>
    <n v="760822"/>
    <n v="804"/>
  </r>
  <r>
    <s v="FL"/>
    <x v="10"/>
    <s v="Leon"/>
    <n v="292198"/>
    <n v="667"/>
  </r>
  <r>
    <s v="FL"/>
    <x v="10"/>
    <s v="Levy"/>
    <n v="42915"/>
    <n v="1118"/>
  </r>
  <r>
    <s v="FL"/>
    <x v="10"/>
    <s v="Liberty"/>
    <n v="7974"/>
    <n v="836"/>
  </r>
  <r>
    <s v="FL"/>
    <x v="10"/>
    <s v="Madison"/>
    <n v="17968"/>
    <n v="692"/>
  </r>
  <r>
    <s v="FL"/>
    <x v="10"/>
    <s v="Manatee"/>
    <n v="399710"/>
    <n v="741"/>
  </r>
  <r>
    <s v="FL"/>
    <x v="10"/>
    <s v="Marion"/>
    <n v="375908"/>
    <n v="1579"/>
  </r>
  <r>
    <s v="FL"/>
    <x v="10"/>
    <s v="Martin"/>
    <n v="158431"/>
    <n v="556"/>
  </r>
  <r>
    <s v="FL"/>
    <x v="10"/>
    <s v="Miami-Dade"/>
    <n v="2701767"/>
    <n v="1946"/>
  </r>
  <r>
    <s v="FL"/>
    <x v="10"/>
    <s v="Monroe"/>
    <n v="82874"/>
    <n v="997"/>
  </r>
  <r>
    <s v="FL"/>
    <x v="10"/>
    <s v="Nassau"/>
    <n v="90352"/>
    <n v="652"/>
  </r>
  <r>
    <s v="FL"/>
    <x v="10"/>
    <s v="Okaloosa"/>
    <n v="211668"/>
    <n v="936"/>
  </r>
  <r>
    <s v="FL"/>
    <x v="10"/>
    <s v="Okeechobee"/>
    <n v="39644"/>
    <n v="774"/>
  </r>
  <r>
    <s v="FL"/>
    <x v="10"/>
    <s v="Orange"/>
    <n v="1429908"/>
    <n v="908"/>
  </r>
  <r>
    <s v="FL"/>
    <x v="10"/>
    <s v="Osceola"/>
    <n v="388656"/>
    <n v="1322"/>
  </r>
  <r>
    <s v="FL"/>
    <x v="10"/>
    <s v="Palm Beach"/>
    <n v="1492191"/>
    <n v="2034"/>
  </r>
  <r>
    <s v="FL"/>
    <x v="10"/>
    <s v="Pasco"/>
    <n v="561891"/>
    <n v="745"/>
  </r>
  <r>
    <s v="FL"/>
    <x v="10"/>
    <s v="Pinellas"/>
    <n v="959107"/>
    <n v="280"/>
  </r>
  <r>
    <s v="FL"/>
    <x v="10"/>
    <s v="Polk"/>
    <n v="725046"/>
    <n v="1875"/>
  </r>
  <r>
    <s v="FL"/>
    <x v="10"/>
    <s v="Putnam"/>
    <n v="73321"/>
    <n v="722"/>
  </r>
  <r>
    <s v="FL"/>
    <x v="10"/>
    <s v="St. Johns"/>
    <n v="273425"/>
    <n v="609"/>
  </r>
  <r>
    <s v="FL"/>
    <x v="10"/>
    <s v="St. Lucie"/>
    <n v="329226"/>
    <n v="572"/>
  </r>
  <r>
    <s v="FL"/>
    <x v="10"/>
    <s v="Santa Rosa"/>
    <n v="188000"/>
    <n v="1016"/>
  </r>
  <r>
    <s v="FL"/>
    <x v="10"/>
    <s v="Sarasota"/>
    <n v="434006"/>
    <n v="572"/>
  </r>
  <r>
    <s v="FL"/>
    <x v="10"/>
    <s v="Seminole"/>
    <n v="470856"/>
    <n v="308"/>
  </r>
  <r>
    <s v="FL"/>
    <x v="10"/>
    <s v="Sumter"/>
    <n v="129752"/>
    <n v="546"/>
  </r>
  <r>
    <s v="FL"/>
    <x v="10"/>
    <s v="Suwannee"/>
    <n v="43474"/>
    <n v="688"/>
  </r>
  <r>
    <s v="FL"/>
    <x v="10"/>
    <s v="Taylor"/>
    <n v="21796"/>
    <n v="1042"/>
  </r>
  <r>
    <s v="FL"/>
    <x v="10"/>
    <s v="Union"/>
    <n v="16147"/>
    <n v="240"/>
  </r>
  <r>
    <s v="FL"/>
    <x v="10"/>
    <s v="Volusia"/>
    <n v="553543"/>
    <n v="1106"/>
  </r>
  <r>
    <s v="FL"/>
    <x v="10"/>
    <s v="Wakulla"/>
    <n v="33764"/>
    <n v="607"/>
  </r>
  <r>
    <s v="FL"/>
    <x v="10"/>
    <s v="Walton"/>
    <n v="75305"/>
    <n v="1058"/>
  </r>
  <r>
    <s v="FL"/>
    <x v="10"/>
    <s v="Washington"/>
    <n v="25318"/>
    <n v="580"/>
  </r>
  <r>
    <s v="GA"/>
    <x v="11"/>
    <s v="Appling"/>
    <n v="18444"/>
    <n v="509"/>
  </r>
  <r>
    <s v="GA"/>
    <x v="11"/>
    <s v="Atkinson"/>
    <n v="8286"/>
    <n v="338"/>
  </r>
  <r>
    <s v="GA"/>
    <x v="11"/>
    <s v="Bacon"/>
    <n v="11140"/>
    <n v="285"/>
  </r>
  <r>
    <s v="GA"/>
    <x v="11"/>
    <s v="Baker"/>
    <n v="2876"/>
    <n v="343"/>
  </r>
  <r>
    <s v="GA"/>
    <x v="11"/>
    <s v="Baldwin"/>
    <n v="43799"/>
    <n v="258"/>
  </r>
  <r>
    <s v="GA"/>
    <x v="11"/>
    <s v="Banks"/>
    <n v="18035"/>
    <n v="234"/>
  </r>
  <r>
    <s v="GA"/>
    <x v="11"/>
    <s v="Barrow"/>
    <n v="83505"/>
    <n v="162"/>
  </r>
  <r>
    <s v="GA"/>
    <x v="11"/>
    <s v="Bartow"/>
    <n v="108901"/>
    <n v="460"/>
  </r>
  <r>
    <s v="GA"/>
    <x v="11"/>
    <s v="Ben Hill"/>
    <n v="17194"/>
    <n v="252"/>
  </r>
  <r>
    <s v="GA"/>
    <x v="11"/>
    <s v="Berrien"/>
    <n v="18160"/>
    <n v="452"/>
  </r>
  <r>
    <s v="GA"/>
    <x v="11"/>
    <s v="Bibb"/>
    <n v="157346"/>
    <n v="250"/>
  </r>
  <r>
    <s v="GA"/>
    <x v="11"/>
    <s v="Bleckley"/>
    <n v="12583"/>
    <n v="217"/>
  </r>
  <r>
    <s v="GA"/>
    <x v="11"/>
    <s v="Brantley"/>
    <n v="18021"/>
    <n v="444"/>
  </r>
  <r>
    <s v="GA"/>
    <x v="11"/>
    <s v="Brooks"/>
    <n v="16301"/>
    <n v="494"/>
  </r>
  <r>
    <s v="GA"/>
    <x v="11"/>
    <s v="Bryan"/>
    <n v="44738"/>
    <n v="442"/>
  </r>
  <r>
    <s v="GA"/>
    <x v="11"/>
    <s v="Bulloch"/>
    <n v="81099"/>
    <n v="683"/>
  </r>
  <r>
    <s v="GA"/>
    <x v="11"/>
    <s v="Burke"/>
    <n v="24596"/>
    <n v="831"/>
  </r>
  <r>
    <s v="GA"/>
    <x v="11"/>
    <s v="Butts"/>
    <n v="25434"/>
    <n v="187"/>
  </r>
  <r>
    <s v="GA"/>
    <x v="11"/>
    <s v="Calhoun"/>
    <n v="5573"/>
    <n v="280"/>
  </r>
  <r>
    <s v="GA"/>
    <x v="11"/>
    <s v="Camden"/>
    <n v="54768"/>
    <n v="630"/>
  </r>
  <r>
    <s v="GA"/>
    <x v="11"/>
    <s v="Candler"/>
    <n v="10981"/>
    <n v="247"/>
  </r>
  <r>
    <s v="GA"/>
    <x v="11"/>
    <s v="Carroll"/>
    <n v="119148"/>
    <n v="499"/>
  </r>
  <r>
    <s v="GA"/>
    <x v="11"/>
    <s v="Catoosa"/>
    <n v="67872"/>
    <n v="162"/>
  </r>
  <r>
    <s v="GA"/>
    <x v="11"/>
    <s v="Charlton"/>
    <n v="12518"/>
    <n v="781"/>
  </r>
  <r>
    <s v="GA"/>
    <x v="11"/>
    <s v="Chatham"/>
    <n v="295291"/>
    <n v="440"/>
  </r>
  <r>
    <s v="GA"/>
    <x v="11"/>
    <s v="Chattahoochee"/>
    <n v="9565"/>
    <n v="249"/>
  </r>
  <r>
    <s v="GA"/>
    <x v="11"/>
    <s v="Chattooga"/>
    <n v="24965"/>
    <n v="314"/>
  </r>
  <r>
    <s v="GA"/>
    <x v="11"/>
    <s v="Cherokee"/>
    <n v="266620"/>
    <n v="424"/>
  </r>
  <r>
    <s v="GA"/>
    <x v="11"/>
    <s v="Clarke"/>
    <n v="128671"/>
    <n v="121"/>
  </r>
  <r>
    <s v="GA"/>
    <x v="11"/>
    <s v="Clay"/>
    <n v="2848"/>
    <n v="195"/>
  </r>
  <r>
    <s v="GA"/>
    <x v="11"/>
    <s v="Clayton"/>
    <n v="297595"/>
    <n v="195"/>
  </r>
  <r>
    <s v="GA"/>
    <x v="11"/>
    <s v="Clinch"/>
    <n v="6749"/>
    <n v="809"/>
  </r>
  <r>
    <s v="GA"/>
    <x v="11"/>
    <s v="Cobb"/>
    <n v="766149"/>
    <n v="340"/>
  </r>
  <r>
    <s v="GA"/>
    <x v="11"/>
    <s v="Coffee"/>
    <n v="43092"/>
    <n v="599"/>
  </r>
  <r>
    <s v="GA"/>
    <x v="11"/>
    <s v="Colquitt"/>
    <n v="45898"/>
    <n v="552"/>
  </r>
  <r>
    <s v="GA"/>
    <x v="11"/>
    <s v="Columbia"/>
    <n v="156010"/>
    <n v="290"/>
  </r>
  <r>
    <s v="GA"/>
    <x v="11"/>
    <s v="Cook"/>
    <n v="17229"/>
    <n v="229"/>
  </r>
  <r>
    <s v="GA"/>
    <x v="11"/>
    <s v="Coweta"/>
    <n v="146158"/>
    <n v="443"/>
  </r>
  <r>
    <s v="GA"/>
    <x v="11"/>
    <s v="Crawford"/>
    <n v="12130"/>
    <n v="325"/>
  </r>
  <r>
    <s v="GA"/>
    <x v="11"/>
    <s v="Crisp"/>
    <n v="20128"/>
    <n v="274"/>
  </r>
  <r>
    <s v="GA"/>
    <x v="11"/>
    <s v="Dade"/>
    <n v="16251"/>
    <n v="174"/>
  </r>
  <r>
    <s v="GA"/>
    <x v="11"/>
    <s v="Dawson"/>
    <n v="26798"/>
    <n v="211"/>
  </r>
  <r>
    <s v="GA"/>
    <x v="11"/>
    <s v="Decatur"/>
    <n v="29367"/>
    <n v="597"/>
  </r>
  <r>
    <s v="GA"/>
    <x v="11"/>
    <s v="DeKalb"/>
    <n v="764382"/>
    <n v="268"/>
  </r>
  <r>
    <s v="GA"/>
    <x v="11"/>
    <s v="Dodge"/>
    <n v="19925"/>
    <n v="501"/>
  </r>
  <r>
    <s v="GA"/>
    <x v="11"/>
    <s v="Dooly"/>
    <n v="11208"/>
    <n v="393"/>
  </r>
  <r>
    <s v="GA"/>
    <x v="11"/>
    <s v="Dougherty"/>
    <n v="85790"/>
    <n v="330"/>
  </r>
  <r>
    <s v="GA"/>
    <x v="11"/>
    <s v="Douglas"/>
    <n v="144237"/>
    <n v="199"/>
  </r>
  <r>
    <s v="GA"/>
    <x v="11"/>
    <s v="Early"/>
    <n v="10854"/>
    <n v="511"/>
  </r>
  <r>
    <s v="GA"/>
    <x v="11"/>
    <s v="Echols"/>
    <n v="3697"/>
    <n v="404"/>
  </r>
  <r>
    <s v="GA"/>
    <x v="11"/>
    <s v="Effingham"/>
    <n v="64769"/>
    <n v="480"/>
  </r>
  <r>
    <s v="GA"/>
    <x v="11"/>
    <s v="Elbert"/>
    <n v="19637"/>
    <n v="369"/>
  </r>
  <r>
    <s v="GA"/>
    <x v="11"/>
    <s v="Emanuel"/>
    <n v="22768"/>
    <n v="686"/>
  </r>
  <r>
    <s v="GA"/>
    <x v="11"/>
    <s v="Evans"/>
    <n v="10774"/>
    <n v="185"/>
  </r>
  <r>
    <s v="GA"/>
    <x v="11"/>
    <s v="Fannin"/>
    <n v="25319"/>
    <n v="386"/>
  </r>
  <r>
    <s v="GA"/>
    <x v="11"/>
    <s v="Fayette"/>
    <n v="119194"/>
    <n v="197"/>
  </r>
  <r>
    <s v="GA"/>
    <x v="11"/>
    <s v="Floyd"/>
    <n v="98584"/>
    <n v="513"/>
  </r>
  <r>
    <s v="GA"/>
    <x v="11"/>
    <s v="Forsyth"/>
    <n v="251283"/>
    <n v="226"/>
  </r>
  <r>
    <s v="GA"/>
    <x v="11"/>
    <s v="Franklin"/>
    <n v="23424"/>
    <n v="263"/>
  </r>
  <r>
    <s v="GA"/>
    <x v="11"/>
    <s v="Fulton"/>
    <n v="1066710"/>
    <n v="529"/>
  </r>
  <r>
    <s v="GA"/>
    <x v="11"/>
    <s v="Gilmer"/>
    <n v="31353"/>
    <n v="427"/>
  </r>
  <r>
    <s v="GA"/>
    <x v="11"/>
    <s v="Glascock"/>
    <n v="2884"/>
    <n v="144"/>
  </r>
  <r>
    <s v="GA"/>
    <x v="11"/>
    <s v="Glynn"/>
    <n v="84499"/>
    <n v="422"/>
  </r>
  <r>
    <s v="GA"/>
    <x v="11"/>
    <s v="Gordon"/>
    <n v="57544"/>
    <n v="355"/>
  </r>
  <r>
    <s v="GA"/>
    <x v="11"/>
    <s v="Grady"/>
    <n v="26236"/>
    <n v="458"/>
  </r>
  <r>
    <s v="GA"/>
    <x v="11"/>
    <s v="Greene"/>
    <n v="18915"/>
    <n v="388"/>
  </r>
  <r>
    <s v="GA"/>
    <x v="11"/>
    <s v="Gwinnett"/>
    <n v="957062"/>
    <n v="433"/>
  </r>
  <r>
    <s v="GA"/>
    <x v="11"/>
    <s v="Habersham"/>
    <n v="46031"/>
    <n v="278"/>
  </r>
  <r>
    <s v="GA"/>
    <x v="11"/>
    <s v="Hall"/>
    <n v="203136"/>
    <n v="394"/>
  </r>
  <r>
    <s v="GA"/>
    <x v="11"/>
    <s v="Hancock"/>
    <n v="8735"/>
    <n v="473"/>
  </r>
  <r>
    <s v="GA"/>
    <x v="11"/>
    <s v="Haralson"/>
    <n v="29919"/>
    <n v="282"/>
  </r>
  <r>
    <s v="GA"/>
    <x v="11"/>
    <s v="Harris"/>
    <n v="34668"/>
    <n v="464"/>
  </r>
  <r>
    <s v="GA"/>
    <x v="11"/>
    <s v="Hart"/>
    <n v="25828"/>
    <n v="232"/>
  </r>
  <r>
    <s v="GA"/>
    <x v="11"/>
    <s v="Heard"/>
    <n v="11412"/>
    <n v="296"/>
  </r>
  <r>
    <s v="GA"/>
    <x v="11"/>
    <s v="Henry"/>
    <n v="240712"/>
    <n v="323"/>
  </r>
  <r>
    <s v="GA"/>
    <x v="11"/>
    <s v="Houston"/>
    <n v="163633"/>
    <n v="377"/>
  </r>
  <r>
    <s v="GA"/>
    <x v="11"/>
    <s v="Irwin"/>
    <n v="9666"/>
    <n v="357"/>
  </r>
  <r>
    <s v="GA"/>
    <x v="11"/>
    <s v="Jackson"/>
    <n v="75907"/>
    <n v="342"/>
  </r>
  <r>
    <s v="GA"/>
    <x v="11"/>
    <s v="Jasper"/>
    <n v="14588"/>
    <n v="370"/>
  </r>
  <r>
    <s v="GA"/>
    <x v="11"/>
    <s v="Jeff Davis"/>
    <n v="14779"/>
    <n v="333"/>
  </r>
  <r>
    <s v="GA"/>
    <x v="11"/>
    <s v="Jefferson"/>
    <n v="15709"/>
    <n v="528"/>
  </r>
  <r>
    <s v="GA"/>
    <x v="11"/>
    <s v="Jenkins"/>
    <n v="8674"/>
    <n v="350"/>
  </r>
  <r>
    <s v="GA"/>
    <x v="11"/>
    <s v="Johnson"/>
    <n v="9189"/>
    <n v="304"/>
  </r>
  <r>
    <s v="GA"/>
    <x v="11"/>
    <s v="Jones"/>
    <n v="28347"/>
    <n v="394"/>
  </r>
  <r>
    <s v="GA"/>
    <x v="11"/>
    <s v="Lamar"/>
    <n v="18500"/>
    <n v="185"/>
  </r>
  <r>
    <s v="GA"/>
    <x v="11"/>
    <s v="Lanier"/>
    <n v="9877"/>
    <n v="187"/>
  </r>
  <r>
    <s v="GA"/>
    <x v="11"/>
    <s v="Laurens"/>
    <n v="49570"/>
    <n v="813"/>
  </r>
  <r>
    <s v="GA"/>
    <x v="11"/>
    <s v="Lee"/>
    <n v="33163"/>
    <n v="356"/>
  </r>
  <r>
    <s v="GA"/>
    <x v="11"/>
    <s v="Liberty"/>
    <n v="65256"/>
    <n v="519"/>
  </r>
  <r>
    <s v="GA"/>
    <x v="11"/>
    <s v="Lincoln"/>
    <n v="7690"/>
    <n v="211"/>
  </r>
  <r>
    <s v="GA"/>
    <x v="11"/>
    <s v="Long"/>
    <n v="16168"/>
    <n v="401"/>
  </r>
  <r>
    <s v="GA"/>
    <x v="11"/>
    <s v="Lowndes"/>
    <n v="118251"/>
    <n v="504"/>
  </r>
  <r>
    <s v="GA"/>
    <x v="11"/>
    <s v="Lumpkin"/>
    <n v="33488"/>
    <n v="284"/>
  </r>
  <r>
    <s v="GA"/>
    <x v="11"/>
    <s v="Macon"/>
    <n v="12082"/>
    <n v="367"/>
  </r>
  <r>
    <s v="GA"/>
    <x v="11"/>
    <s v="Madison"/>
    <n v="30120"/>
    <n v="260"/>
  </r>
  <r>
    <s v="GA"/>
    <x v="11"/>
    <s v="Marion"/>
    <n v="7498"/>
    <n v="434"/>
  </r>
  <r>
    <s v="GA"/>
    <x v="11"/>
    <s v="McDuffie"/>
    <n v="21632"/>
    <n v="403"/>
  </r>
  <r>
    <s v="GA"/>
    <x v="11"/>
    <s v="McIntosh"/>
    <n v="10975"/>
    <n v="427"/>
  </r>
  <r>
    <s v="GA"/>
    <x v="11"/>
    <s v="Meriwether"/>
    <n v="20613"/>
    <n v="503"/>
  </r>
  <r>
    <s v="GA"/>
    <x v="11"/>
    <s v="Miller"/>
    <n v="6000"/>
    <n v="283"/>
  </r>
  <r>
    <s v="GA"/>
    <x v="11"/>
    <s v="Mitchell"/>
    <n v="21755"/>
    <n v="512"/>
  </r>
  <r>
    <s v="GA"/>
    <x v="11"/>
    <s v="Monroe"/>
    <n v="27957"/>
    <n v="396"/>
  </r>
  <r>
    <s v="GA"/>
    <x v="11"/>
    <s v="Montgomery"/>
    <n v="8610"/>
    <n v="245"/>
  </r>
  <r>
    <s v="GA"/>
    <x v="11"/>
    <s v="Morgan"/>
    <n v="20097"/>
    <n v="350"/>
  </r>
  <r>
    <s v="GA"/>
    <x v="11"/>
    <s v="Murray"/>
    <n v="39973"/>
    <n v="344"/>
  </r>
  <r>
    <s v="GA"/>
    <x v="11"/>
    <s v="Muscogee"/>
    <n v="206922"/>
    <n v="216"/>
  </r>
  <r>
    <s v="GA"/>
    <x v="11"/>
    <s v="Newton"/>
    <n v="112483"/>
    <n v="276"/>
  </r>
  <r>
    <s v="GA"/>
    <x v="11"/>
    <s v="Oconee"/>
    <n v="41799"/>
    <n v="186"/>
  </r>
  <r>
    <s v="GA"/>
    <x v="11"/>
    <s v="Oglethorpe"/>
    <n v="14825"/>
    <n v="441"/>
  </r>
  <r>
    <s v="GA"/>
    <x v="11"/>
    <s v="Paulding"/>
    <n v="168661"/>
    <n v="314"/>
  </r>
  <r>
    <s v="GA"/>
    <x v="11"/>
    <s v="Peach"/>
    <n v="27981"/>
    <n v="151"/>
  </r>
  <r>
    <s v="GA"/>
    <x v="11"/>
    <s v="Pickens"/>
    <n v="33216"/>
    <n v="232"/>
  </r>
  <r>
    <s v="GA"/>
    <x v="11"/>
    <s v="Pierce"/>
    <n v="19716"/>
    <n v="343"/>
  </r>
  <r>
    <s v="GA"/>
    <x v="11"/>
    <s v="Pike"/>
    <n v="18889"/>
    <n v="218"/>
  </r>
  <r>
    <s v="GA"/>
    <x v="11"/>
    <s v="Polk"/>
    <n v="42853"/>
    <n v="311"/>
  </r>
  <r>
    <s v="GA"/>
    <x v="11"/>
    <s v="Pulaski"/>
    <n v="9855"/>
    <n v="247"/>
  </r>
  <r>
    <s v="GA"/>
    <x v="11"/>
    <s v="Putnam"/>
    <n v="22047"/>
    <n v="344"/>
  </r>
  <r>
    <s v="GA"/>
    <x v="11"/>
    <s v="Quitman"/>
    <n v="2235"/>
    <n v="152"/>
  </r>
  <r>
    <s v="GA"/>
    <x v="11"/>
    <s v="Rabun"/>
    <n v="16883"/>
    <n v="371"/>
  </r>
  <r>
    <s v="GA"/>
    <x v="11"/>
    <s v="Randolph"/>
    <n v="6425"/>
    <n v="429"/>
  </r>
  <r>
    <s v="GA"/>
    <x v="11"/>
    <s v="Richmond"/>
    <n v="206607"/>
    <n v="324"/>
  </r>
  <r>
    <s v="GA"/>
    <x v="11"/>
    <s v="Rockdale"/>
    <n v="93570"/>
    <n v="131"/>
  </r>
  <r>
    <s v="GA"/>
    <x v="11"/>
    <s v="Schley"/>
    <n v="4547"/>
    <n v="168"/>
  </r>
  <r>
    <s v="GA"/>
    <x v="11"/>
    <s v="Screven"/>
    <n v="14067"/>
    <n v="648"/>
  </r>
  <r>
    <s v="GA"/>
    <x v="11"/>
    <s v="Seminole"/>
    <n v="9147"/>
    <n v="238"/>
  </r>
  <r>
    <s v="GA"/>
    <x v="11"/>
    <s v="Spalding"/>
    <n v="67306"/>
    <n v="198"/>
  </r>
  <r>
    <s v="GA"/>
    <x v="11"/>
    <s v="Stephens"/>
    <n v="26784"/>
    <n v="179"/>
  </r>
  <r>
    <s v="GA"/>
    <x v="11"/>
    <s v="Stewart"/>
    <n v="5314"/>
    <n v="459"/>
  </r>
  <r>
    <s v="GA"/>
    <x v="11"/>
    <s v="Sumter"/>
    <n v="29616"/>
    <n v="485"/>
  </r>
  <r>
    <s v="GA"/>
    <x v="11"/>
    <s v="Talbot"/>
    <n v="5733"/>
    <n v="393"/>
  </r>
  <r>
    <s v="GA"/>
    <x v="11"/>
    <s v="Taliaferro"/>
    <n v="1559"/>
    <n v="195"/>
  </r>
  <r>
    <s v="GA"/>
    <x v="11"/>
    <s v="Tattnall"/>
    <n v="22842"/>
    <n v="484"/>
  </r>
  <r>
    <s v="GA"/>
    <x v="11"/>
    <s v="Taylor"/>
    <n v="7816"/>
    <n v="378"/>
  </r>
  <r>
    <s v="GA"/>
    <x v="11"/>
    <s v="Telfair"/>
    <n v="12477"/>
    <n v="441"/>
  </r>
  <r>
    <s v="GA"/>
    <x v="11"/>
    <s v="Terrell"/>
    <n v="9185"/>
    <n v="336"/>
  </r>
  <r>
    <s v="GA"/>
    <x v="11"/>
    <s v="Thomas"/>
    <n v="45798"/>
    <n v="548"/>
  </r>
  <r>
    <s v="GA"/>
    <x v="11"/>
    <s v="Tift"/>
    <n v="41344"/>
    <n v="265"/>
  </r>
  <r>
    <s v="GA"/>
    <x v="11"/>
    <s v="Toombs"/>
    <n v="27030"/>
    <n v="367"/>
  </r>
  <r>
    <s v="GA"/>
    <x v="11"/>
    <s v="Towns"/>
    <n v="12493"/>
    <n v="166"/>
  </r>
  <r>
    <s v="GA"/>
    <x v="11"/>
    <s v="Treutlen"/>
    <n v="6406"/>
    <n v="201"/>
  </r>
  <r>
    <s v="GA"/>
    <x v="11"/>
    <s v="Troup"/>
    <n v="69426"/>
    <n v="414"/>
  </r>
  <r>
    <s v="GA"/>
    <x v="11"/>
    <s v="Turner"/>
    <n v="9006"/>
    <n v="286"/>
  </r>
  <r>
    <s v="GA"/>
    <x v="11"/>
    <s v="Twiggs"/>
    <n v="8022"/>
    <n v="360"/>
  </r>
  <r>
    <s v="GA"/>
    <x v="11"/>
    <s v="Union"/>
    <n v="24632"/>
    <n v="323"/>
  </r>
  <r>
    <s v="GA"/>
    <x v="11"/>
    <s v="Upson"/>
    <n v="27700"/>
    <n v="326"/>
  </r>
  <r>
    <s v="GA"/>
    <x v="11"/>
    <s v="Walker"/>
    <n v="67654"/>
    <n v="446"/>
  </r>
  <r>
    <s v="GA"/>
    <x v="11"/>
    <s v="Walton"/>
    <n v="96673"/>
    <n v="329"/>
  </r>
  <r>
    <s v="GA"/>
    <x v="11"/>
    <s v="Ware"/>
    <n v="36251"/>
    <n v="903"/>
  </r>
  <r>
    <s v="GA"/>
    <x v="11"/>
    <s v="Warren"/>
    <n v="5215"/>
    <n v="286"/>
  </r>
  <r>
    <s v="GA"/>
    <x v="11"/>
    <s v="Washington"/>
    <n v="19988"/>
    <n v="680"/>
  </r>
  <r>
    <s v="GA"/>
    <x v="11"/>
    <s v="Wayne"/>
    <n v="30144"/>
    <n v="645"/>
  </r>
  <r>
    <s v="GA"/>
    <x v="11"/>
    <s v="Webster"/>
    <n v="2348"/>
    <n v="210"/>
  </r>
  <r>
    <s v="GA"/>
    <x v="11"/>
    <s v="Wheeler"/>
    <n v="7471"/>
    <n v="298"/>
  </r>
  <r>
    <s v="GA"/>
    <x v="11"/>
    <s v="White"/>
    <n v="28003"/>
    <n v="242"/>
  </r>
  <r>
    <s v="GA"/>
    <x v="11"/>
    <s v="Whitfield"/>
    <n v="102864"/>
    <n v="290"/>
  </r>
  <r>
    <s v="GA"/>
    <x v="11"/>
    <s v="Wilcox"/>
    <n v="8766"/>
    <n v="380"/>
  </r>
  <r>
    <s v="GA"/>
    <x v="11"/>
    <s v="Wilkes"/>
    <n v="9565"/>
    <n v="471"/>
  </r>
  <r>
    <s v="GA"/>
    <x v="11"/>
    <s v="Wilkinson"/>
    <n v="8877"/>
    <n v="447"/>
  </r>
  <r>
    <s v="GA"/>
    <x v="11"/>
    <s v="Worth"/>
    <n v="20784"/>
    <n v="570"/>
  </r>
  <r>
    <s v="GU"/>
    <x v="12"/>
    <s v="Guam"/>
    <n v="162742"/>
    <n v="210"/>
  </r>
  <r>
    <s v="HI"/>
    <x v="13"/>
    <s v="Hawaii"/>
    <n v="200629"/>
    <n v="4028"/>
  </r>
  <r>
    <s v="HI"/>
    <x v="13"/>
    <s v="Honolulu"/>
    <n v="1016508"/>
    <n v="597"/>
  </r>
  <r>
    <s v="HI"/>
    <x v="13"/>
    <s v="Kalawao"/>
    <n v="82"/>
    <n v="5.2"/>
  </r>
  <r>
    <s v="HI"/>
    <x v="13"/>
    <s v="Kauai"/>
    <n v="73298"/>
    <n v="622"/>
  </r>
  <r>
    <s v="HI"/>
    <x v="13"/>
    <s v="Maui"/>
    <n v="164754"/>
    <n v="1120"/>
  </r>
  <r>
    <s v="ID"/>
    <x v="14"/>
    <s v="Ada"/>
    <n v="494967"/>
    <n v="1055"/>
  </r>
  <r>
    <s v="ID"/>
    <x v="14"/>
    <s v="Adams"/>
    <n v="4379"/>
    <n v="1365"/>
  </r>
  <r>
    <s v="ID"/>
    <x v="14"/>
    <s v="Bannock"/>
    <n v="87018"/>
    <n v="1113"/>
  </r>
  <r>
    <s v="ID"/>
    <x v="14"/>
    <s v="Bear Lake"/>
    <n v="6372"/>
    <n v="971"/>
  </r>
  <r>
    <s v="ID"/>
    <x v="14"/>
    <s v="Benewah"/>
    <n v="9530"/>
    <n v="776"/>
  </r>
  <r>
    <s v="ID"/>
    <x v="14"/>
    <s v="Bingham"/>
    <n v="47992"/>
    <n v="2095"/>
  </r>
  <r>
    <s v="ID"/>
    <x v="14"/>
    <s v="Blaine"/>
    <n v="24272"/>
    <n v="2645"/>
  </r>
  <r>
    <s v="ID"/>
    <x v="14"/>
    <s v="Boise"/>
    <n v="7610"/>
    <n v="1902"/>
  </r>
  <r>
    <s v="ID"/>
    <x v="14"/>
    <s v="Bonner"/>
    <n v="47110"/>
    <n v="1738"/>
  </r>
  <r>
    <s v="ID"/>
    <x v="14"/>
    <s v="Bonneville"/>
    <n v="123964"/>
    <n v="1869"/>
  </r>
  <r>
    <s v="ID"/>
    <x v="14"/>
    <s v="Boundary"/>
    <n v="12056"/>
    <n v="1269"/>
  </r>
  <r>
    <s v="ID"/>
    <x v="14"/>
    <s v="Butte"/>
    <n v="2574"/>
    <n v="2233"/>
  </r>
  <r>
    <s v="ID"/>
    <x v="14"/>
    <s v="Camas"/>
    <n v="1077"/>
    <n v="1077"/>
  </r>
  <r>
    <s v="ID"/>
    <x v="14"/>
    <s v="Canyon"/>
    <n v="231105"/>
    <n v="590"/>
  </r>
  <r>
    <s v="ID"/>
    <x v="14"/>
    <s v="Caribou"/>
    <n v="7027"/>
    <n v="1766"/>
  </r>
  <r>
    <s v="ID"/>
    <x v="14"/>
    <s v="Cassia"/>
    <n v="24655"/>
    <n v="2567"/>
  </r>
  <r>
    <s v="ID"/>
    <x v="14"/>
    <s v="Clark"/>
    <n v="790"/>
    <n v="1765"/>
  </r>
  <r>
    <s v="ID"/>
    <x v="14"/>
    <s v="Clearwater"/>
    <n v="8734"/>
    <n v="2462"/>
  </r>
  <r>
    <s v="ID"/>
    <x v="14"/>
    <s v="Custer"/>
    <n v="4275"/>
    <n v="4926"/>
  </r>
  <r>
    <s v="ID"/>
    <x v="14"/>
    <s v="Elmore"/>
    <n v="28666"/>
    <n v="3078"/>
  </r>
  <r>
    <s v="ID"/>
    <x v="14"/>
    <s v="Franklin"/>
    <n v="14194"/>
    <n v="666"/>
  </r>
  <r>
    <s v="ID"/>
    <x v="14"/>
    <s v="Fremont"/>
    <n v="13388"/>
    <n v="1867"/>
  </r>
  <r>
    <s v="ID"/>
    <x v="14"/>
    <s v="Gem"/>
    <n v="19123"/>
    <n v="563"/>
  </r>
  <r>
    <s v="ID"/>
    <x v="14"/>
    <s v="Gooding"/>
    <n v="15598"/>
    <n v="731"/>
  </r>
  <r>
    <s v="ID"/>
    <x v="14"/>
    <s v="Idaho"/>
    <n v="16541"/>
    <n v="8485"/>
  </r>
  <r>
    <s v="ID"/>
    <x v="14"/>
    <s v="Jefferson"/>
    <n v="30891"/>
    <n v="1095"/>
  </r>
  <r>
    <s v="ID"/>
    <x v="14"/>
    <s v="Jerome"/>
    <n v="24237"/>
    <n v="600"/>
  </r>
  <r>
    <s v="ID"/>
    <x v="14"/>
    <s v="Kootenai"/>
    <n v="171362"/>
    <n v="1245"/>
  </r>
  <r>
    <s v="ID"/>
    <x v="14"/>
    <s v="Latah"/>
    <n v="39517"/>
    <n v="1077"/>
  </r>
  <r>
    <s v="ID"/>
    <x v="14"/>
    <s v="Lemhi"/>
    <n v="7974"/>
    <n v="4564"/>
  </r>
  <r>
    <s v="ID"/>
    <x v="14"/>
    <s v="Lewis"/>
    <n v="3533"/>
    <n v="479"/>
  </r>
  <r>
    <s v="ID"/>
    <x v="14"/>
    <s v="Lincoln"/>
    <n v="5127"/>
    <n v="1206"/>
  </r>
  <r>
    <s v="ID"/>
    <x v="14"/>
    <s v="Madison"/>
    <n v="52913"/>
    <n v="472"/>
  </r>
  <r>
    <s v="ID"/>
    <x v="14"/>
    <s v="Minidoka"/>
    <n v="21613"/>
    <n v="760"/>
  </r>
  <r>
    <s v="ID"/>
    <x v="14"/>
    <s v="Nez Perce"/>
    <n v="42090"/>
    <n v="849"/>
  </r>
  <r>
    <s v="ID"/>
    <x v="14"/>
    <s v="Oneida"/>
    <n v="4564"/>
    <n v="1200"/>
  </r>
  <r>
    <s v="ID"/>
    <x v="14"/>
    <s v="Owyhee"/>
    <n v="11913"/>
    <n v="7678"/>
  </r>
  <r>
    <s v="ID"/>
    <x v="14"/>
    <s v="Payette"/>
    <n v="25386"/>
    <n v="408"/>
  </r>
  <r>
    <s v="ID"/>
    <x v="14"/>
    <s v="Power"/>
    <n v="7878"/>
    <n v="1406"/>
  </r>
  <r>
    <s v="ID"/>
    <x v="14"/>
    <s v="Shoshone"/>
    <n v="13169"/>
    <n v="2634"/>
  </r>
  <r>
    <s v="ID"/>
    <x v="14"/>
    <s v="Teton"/>
    <n v="11630"/>
    <n v="450"/>
  </r>
  <r>
    <s v="ID"/>
    <x v="14"/>
    <s v="Twin Falls"/>
    <n v="90046"/>
    <n v="1925"/>
  </r>
  <r>
    <s v="ID"/>
    <x v="14"/>
    <s v="Valley"/>
    <n v="11746"/>
    <n v="3733"/>
  </r>
  <r>
    <s v="ID"/>
    <x v="14"/>
    <s v="Washington"/>
    <n v="10500"/>
    <n v="1456"/>
  </r>
  <r>
    <s v="IL"/>
    <x v="15"/>
    <s v="Adams"/>
    <n v="65737"/>
    <n v="855"/>
  </r>
  <r>
    <s v="IL"/>
    <x v="15"/>
    <s v="Alexander"/>
    <n v="5240"/>
    <n v="236"/>
  </r>
  <r>
    <s v="IL"/>
    <x v="15"/>
    <s v="Bond"/>
    <n v="16725"/>
    <n v="380"/>
  </r>
  <r>
    <s v="IL"/>
    <x v="15"/>
    <s v="Boone"/>
    <n v="53448"/>
    <n v="280"/>
  </r>
  <r>
    <s v="IL"/>
    <x v="15"/>
    <s v="Brown"/>
    <n v="6244"/>
    <n v="305"/>
  </r>
  <r>
    <s v="IL"/>
    <x v="15"/>
    <s v="Bureau"/>
    <n v="33244"/>
    <n v="869"/>
  </r>
  <r>
    <s v="IL"/>
    <x v="15"/>
    <s v="Calhoun"/>
    <n v="4437"/>
    <n v="253"/>
  </r>
  <r>
    <s v="IL"/>
    <x v="15"/>
    <s v="Carroll"/>
    <n v="15702"/>
    <n v="445"/>
  </r>
  <r>
    <s v="IL"/>
    <x v="15"/>
    <s v="Cass"/>
    <n v="13042"/>
    <n v="375"/>
  </r>
  <r>
    <s v="IL"/>
    <x v="15"/>
    <s v="Champaign"/>
    <n v="205865"/>
    <n v="996"/>
  </r>
  <r>
    <s v="IL"/>
    <x v="15"/>
    <s v="Christian"/>
    <n v="34032"/>
    <n v="709"/>
  </r>
  <r>
    <s v="IL"/>
    <x v="15"/>
    <s v="Clark"/>
    <n v="15455"/>
    <n v="501"/>
  </r>
  <r>
    <s v="IL"/>
    <x v="15"/>
    <s v="Clay"/>
    <n v="13288"/>
    <n v="468"/>
  </r>
  <r>
    <s v="IL"/>
    <x v="15"/>
    <s v="Clinton"/>
    <n v="36899"/>
    <n v="474"/>
  </r>
  <r>
    <s v="IL"/>
    <x v="15"/>
    <s v="Coles"/>
    <n v="46863"/>
    <n v="508"/>
  </r>
  <r>
    <s v="IL"/>
    <x v="15"/>
    <s v="Cook"/>
    <n v="5275541"/>
    <n v="944"/>
  </r>
  <r>
    <s v="IL"/>
    <x v="15"/>
    <s v="Crawford"/>
    <n v="18679"/>
    <n v="443"/>
  </r>
  <r>
    <s v="IL"/>
    <x v="15"/>
    <s v="Cumberland"/>
    <n v="10450"/>
    <n v="345"/>
  </r>
  <r>
    <s v="IL"/>
    <x v="15"/>
    <s v="DeKalb"/>
    <n v="100420"/>
    <n v="631"/>
  </r>
  <r>
    <s v="IL"/>
    <x v="15"/>
    <s v="DeWitt"/>
    <n v="15516"/>
    <n v="397"/>
  </r>
  <r>
    <s v="IL"/>
    <x v="15"/>
    <s v="Douglas"/>
    <n v="19740"/>
    <n v="416"/>
  </r>
  <r>
    <s v="IL"/>
    <x v="15"/>
    <s v="DuPage"/>
    <n v="932877"/>
    <n v="327"/>
  </r>
  <r>
    <s v="IL"/>
    <x v="15"/>
    <s v="Edgar"/>
    <n v="16866"/>
    <n v="623"/>
  </r>
  <r>
    <s v="IL"/>
    <x v="15"/>
    <s v="Edwards"/>
    <n v="6245"/>
    <n v="222"/>
  </r>
  <r>
    <s v="IL"/>
    <x v="15"/>
    <s v="Effingham"/>
    <n v="34668"/>
    <n v="478"/>
  </r>
  <r>
    <s v="IL"/>
    <x v="15"/>
    <s v="Fayette"/>
    <n v="21488"/>
    <n v="716"/>
  </r>
  <r>
    <s v="IL"/>
    <x v="15"/>
    <s v="Ford"/>
    <n v="13534"/>
    <n v="485"/>
  </r>
  <r>
    <s v="IL"/>
    <x v="15"/>
    <s v="Franklin"/>
    <n v="37804"/>
    <n v="408"/>
  </r>
  <r>
    <s v="IL"/>
    <x v="15"/>
    <s v="Fulton"/>
    <n v="33609"/>
    <n v="865"/>
  </r>
  <r>
    <s v="IL"/>
    <x v="15"/>
    <s v="Gallatin"/>
    <n v="4946"/>
    <n v="322"/>
  </r>
  <r>
    <s v="IL"/>
    <x v="15"/>
    <s v="Greene"/>
    <n v="11985"/>
    <n v="543"/>
  </r>
  <r>
    <s v="IL"/>
    <x v="15"/>
    <s v="Grundy"/>
    <n v="52533"/>
    <n v="418"/>
  </r>
  <r>
    <s v="IL"/>
    <x v="15"/>
    <s v="Hamilton"/>
    <n v="7993"/>
    <n v="434"/>
  </r>
  <r>
    <s v="IL"/>
    <x v="15"/>
    <s v="Hancock"/>
    <n v="17620"/>
    <n v="793"/>
  </r>
  <r>
    <s v="IL"/>
    <x v="15"/>
    <s v="Hardin"/>
    <n v="3649"/>
    <n v="177"/>
  </r>
  <r>
    <s v="IL"/>
    <x v="15"/>
    <s v="Henderson"/>
    <n v="6387"/>
    <n v="378"/>
  </r>
  <r>
    <s v="IL"/>
    <x v="15"/>
    <s v="Henry"/>
    <n v="49284"/>
    <n v="822"/>
  </r>
  <r>
    <s v="IL"/>
    <x v="15"/>
    <s v="Iroquois"/>
    <n v="27077"/>
    <n v="1117"/>
  </r>
  <r>
    <s v="IL"/>
    <x v="15"/>
    <s v="Jackson"/>
    <n v="52974"/>
    <n v="584"/>
  </r>
  <r>
    <s v="IL"/>
    <x v="15"/>
    <s v="Jasper"/>
    <n v="9287"/>
    <n v="494"/>
  </r>
  <r>
    <s v="IL"/>
    <x v="15"/>
    <s v="Jefferson"/>
    <n v="37113"/>
    <n v="571"/>
  </r>
  <r>
    <s v="IL"/>
    <x v="15"/>
    <s v="Jersey"/>
    <n v="21512"/>
    <n v="369"/>
  </r>
  <r>
    <s v="IL"/>
    <x v="15"/>
    <s v="Jo Daviess"/>
    <n v="22035"/>
    <n v="600"/>
  </r>
  <r>
    <s v="IL"/>
    <x v="15"/>
    <s v="Johnson"/>
    <n v="13308"/>
    <n v="343"/>
  </r>
  <r>
    <s v="IL"/>
    <x v="15"/>
    <s v="Kane"/>
    <n v="516522"/>
    <n v="519"/>
  </r>
  <r>
    <s v="IL"/>
    <x v="15"/>
    <s v="Kankakee"/>
    <n v="107502"/>
    <n v="676"/>
  </r>
  <r>
    <s v="IL"/>
    <x v="15"/>
    <s v="Kendall"/>
    <n v="131869"/>
    <n v="320"/>
  </r>
  <r>
    <s v="IL"/>
    <x v="15"/>
    <s v="Knox"/>
    <n v="49967"/>
    <n v="716"/>
  </r>
  <r>
    <s v="IL"/>
    <x v="15"/>
    <s v="Lake"/>
    <n v="714342"/>
    <n v="443"/>
  </r>
  <r>
    <s v="IL"/>
    <x v="15"/>
    <s v="LaSalle"/>
    <n v="109658"/>
    <n v="1135"/>
  </r>
  <r>
    <s v="IL"/>
    <x v="15"/>
    <s v="Lawrence"/>
    <n v="15280"/>
    <n v="372"/>
  </r>
  <r>
    <s v="IL"/>
    <x v="15"/>
    <s v="Lee"/>
    <n v="34145"/>
    <n v="724"/>
  </r>
  <r>
    <s v="IL"/>
    <x v="15"/>
    <s v="Livingston"/>
    <n v="35815"/>
    <n v="1043"/>
  </r>
  <r>
    <s v="IL"/>
    <x v="15"/>
    <s v="Logan"/>
    <n v="27987"/>
    <n v="618"/>
  </r>
  <r>
    <s v="IL"/>
    <x v="15"/>
    <s v="Macon"/>
    <n v="103998"/>
    <n v="572"/>
  </r>
  <r>
    <s v="IL"/>
    <x v="15"/>
    <s v="Macoupin"/>
    <n v="44967"/>
    <n v="863"/>
  </r>
  <r>
    <s v="IL"/>
    <x v="15"/>
    <s v="Madison"/>
    <n v="265859"/>
    <n v="539"/>
  </r>
  <r>
    <s v="IL"/>
    <x v="15"/>
    <s v="Marion"/>
    <n v="37729"/>
    <n v="575"/>
  </r>
  <r>
    <s v="IL"/>
    <x v="15"/>
    <s v="Marshall"/>
    <n v="11742"/>
    <n v="589"/>
  </r>
  <r>
    <s v="IL"/>
    <x v="15"/>
    <s v="Mason"/>
    <n v="13086"/>
    <n v="603"/>
  </r>
  <r>
    <s v="IL"/>
    <x v="15"/>
    <s v="Massac"/>
    <n v="14169"/>
    <n v="242"/>
  </r>
  <r>
    <s v="IL"/>
    <x v="15"/>
    <s v="McDonough"/>
    <n v="27238"/>
    <n v="580"/>
  </r>
  <r>
    <s v="IL"/>
    <x v="15"/>
    <s v="McHenry"/>
    <n v="310229"/>
    <n v="862"/>
  </r>
  <r>
    <s v="IL"/>
    <x v="15"/>
    <s v="McLean"/>
    <n v="170954"/>
    <n v="1186"/>
  </r>
  <r>
    <s v="IL"/>
    <x v="15"/>
    <s v="Menard"/>
    <n v="12297"/>
    <n v="314"/>
  </r>
  <r>
    <s v="IL"/>
    <x v="15"/>
    <s v="Mercer"/>
    <n v="15699"/>
    <n v="561"/>
  </r>
  <r>
    <s v="IL"/>
    <x v="15"/>
    <s v="Monroe"/>
    <n v="34962"/>
    <n v="385"/>
  </r>
  <r>
    <s v="IL"/>
    <x v="15"/>
    <s v="Montgomery"/>
    <n v="28288"/>
    <n v="703"/>
  </r>
  <r>
    <s v="IL"/>
    <x v="15"/>
    <s v="Morgan"/>
    <n v="32915"/>
    <n v="568"/>
  </r>
  <r>
    <s v="IL"/>
    <x v="15"/>
    <s v="Moultrie"/>
    <n v="14526"/>
    <n v="335"/>
  </r>
  <r>
    <s v="IL"/>
    <x v="15"/>
    <s v="Ogle"/>
    <n v="51788"/>
    <n v="758"/>
  </r>
  <r>
    <s v="IL"/>
    <x v="15"/>
    <s v="Peoria"/>
    <n v="181830"/>
    <n v="618"/>
  </r>
  <r>
    <s v="IL"/>
    <x v="15"/>
    <s v="Perry"/>
    <n v="20945"/>
    <n v="441"/>
  </r>
  <r>
    <s v="IL"/>
    <x v="15"/>
    <s v="Piatt"/>
    <n v="16673"/>
    <n v="439"/>
  </r>
  <r>
    <s v="IL"/>
    <x v="15"/>
    <s v="Pike"/>
    <n v="14739"/>
    <n v="831"/>
  </r>
  <r>
    <s v="IL"/>
    <x v="15"/>
    <s v="Pope"/>
    <n v="3763"/>
    <n v="368"/>
  </r>
  <r>
    <s v="IL"/>
    <x v="15"/>
    <s v="Pulaski"/>
    <n v="5193"/>
    <n v="199"/>
  </r>
  <r>
    <s v="IL"/>
    <x v="15"/>
    <s v="Putnam"/>
    <n v="5637"/>
    <n v="160"/>
  </r>
  <r>
    <s v="IL"/>
    <x v="15"/>
    <s v="Randolph"/>
    <n v="30163"/>
    <n v="575"/>
  </r>
  <r>
    <s v="IL"/>
    <x v="15"/>
    <s v="Richland"/>
    <n v="15813"/>
    <n v="360"/>
  </r>
  <r>
    <s v="IL"/>
    <x v="15"/>
    <s v="Rock Island"/>
    <n v="144672"/>
    <n v="427"/>
  </r>
  <r>
    <s v="IL"/>
    <x v="15"/>
    <s v="St. Clair"/>
    <n v="257400"/>
    <n v="674"/>
  </r>
  <r>
    <s v="IL"/>
    <x v="15"/>
    <s v="Saline"/>
    <n v="23768"/>
    <n v="868"/>
  </r>
  <r>
    <s v="IL"/>
    <x v="15"/>
    <s v="Sangamon"/>
    <n v="196343"/>
    <n v="437"/>
  </r>
  <r>
    <s v="IL"/>
    <x v="15"/>
    <s v="Schuyler"/>
    <n v="6902"/>
    <n v="438"/>
  </r>
  <r>
    <s v="IL"/>
    <x v="15"/>
    <s v="Scott"/>
    <n v="4949"/>
    <n v="758"/>
  </r>
  <r>
    <s v="IL"/>
    <x v="15"/>
    <s v="Shelby"/>
    <n v="20990"/>
    <n v="657"/>
  </r>
  <r>
    <s v="IL"/>
    <x v="15"/>
    <s v="Stark"/>
    <n v="5400"/>
    <n v="288"/>
  </r>
  <r>
    <s v="IL"/>
    <x v="15"/>
    <s v="Stephenson"/>
    <n v="44630"/>
    <n v="564"/>
  </r>
  <r>
    <s v="IL"/>
    <x v="15"/>
    <s v="Tazewell"/>
    <n v="131343"/>
    <n v="646"/>
  </r>
  <r>
    <s v="IL"/>
    <x v="15"/>
    <s v="Union"/>
    <n v="17244"/>
    <n v="413"/>
  </r>
  <r>
    <s v="IL"/>
    <x v="15"/>
    <s v="Vermilion"/>
    <n v="74188"/>
    <n v="898"/>
  </r>
  <r>
    <s v="IL"/>
    <x v="15"/>
    <s v="Wabash"/>
    <n v="11361"/>
    <n v="223"/>
  </r>
  <r>
    <s v="IL"/>
    <x v="15"/>
    <s v="Warren"/>
    <n v="16835"/>
    <n v="542"/>
  </r>
  <r>
    <s v="IL"/>
    <x v="15"/>
    <s v="Washington"/>
    <n v="13761"/>
    <n v="562"/>
  </r>
  <r>
    <s v="IL"/>
    <x v="15"/>
    <s v="Wayne"/>
    <n v="16179"/>
    <n v="713"/>
  </r>
  <r>
    <s v="IL"/>
    <x v="15"/>
    <s v="White"/>
    <n v="13877"/>
    <n v="494"/>
  </r>
  <r>
    <s v="IL"/>
    <x v="15"/>
    <s v="Whiteside"/>
    <n v="55691"/>
    <n v="684"/>
  </r>
  <r>
    <s v="IL"/>
    <x v="15"/>
    <s v="Will"/>
    <n v="696355"/>
    <n v="835"/>
  </r>
  <r>
    <s v="IL"/>
    <x v="15"/>
    <s v="Williamson"/>
    <n v="67153"/>
    <n v="420"/>
  </r>
  <r>
    <s v="IL"/>
    <x v="15"/>
    <s v="Winnebago"/>
    <n v="285350"/>
    <n v="513"/>
  </r>
  <r>
    <s v="IL"/>
    <x v="15"/>
    <s v="Woodford"/>
    <n v="38467"/>
    <n v="527"/>
  </r>
  <r>
    <s v="IN"/>
    <x v="16"/>
    <s v="Adams"/>
    <n v="35809"/>
    <n v="339"/>
  </r>
  <r>
    <s v="IN"/>
    <x v="16"/>
    <s v="Allen"/>
    <n v="385410"/>
    <n v="657"/>
  </r>
  <r>
    <s v="IN"/>
    <x v="16"/>
    <s v="Bartholomew"/>
    <n v="82208"/>
    <n v="407"/>
  </r>
  <r>
    <s v="IN"/>
    <x v="16"/>
    <s v="Benton"/>
    <n v="8719"/>
    <n v="406"/>
  </r>
  <r>
    <s v="IN"/>
    <x v="16"/>
    <s v="Blackford"/>
    <n v="12112"/>
    <n v="165"/>
  </r>
  <r>
    <s v="IN"/>
    <x v="16"/>
    <s v="Boone"/>
    <n v="70812"/>
    <n v="423"/>
  </r>
  <r>
    <s v="IN"/>
    <x v="16"/>
    <s v="Brown"/>
    <n v="15475"/>
    <n v="312"/>
  </r>
  <r>
    <s v="IN"/>
    <x v="16"/>
    <s v="Carroll"/>
    <n v="20306"/>
    <n v="372"/>
  </r>
  <r>
    <s v="IN"/>
    <x v="16"/>
    <s v="Cass"/>
    <n v="37870"/>
    <n v="412"/>
  </r>
  <r>
    <s v="IN"/>
    <x v="16"/>
    <s v="Clark"/>
    <n v="121093"/>
    <n v="373"/>
  </r>
  <r>
    <s v="IN"/>
    <x v="16"/>
    <s v="Clay"/>
    <n v="26466"/>
    <n v="358"/>
  </r>
  <r>
    <s v="IN"/>
    <x v="16"/>
    <s v="Clinton"/>
    <n v="33190"/>
    <n v="405"/>
  </r>
  <r>
    <s v="IN"/>
    <x v="16"/>
    <s v="Crawford"/>
    <n v="10526"/>
    <n v="306"/>
  </r>
  <r>
    <s v="IN"/>
    <x v="16"/>
    <s v="Daviess"/>
    <n v="33381"/>
    <n v="429"/>
  </r>
  <r>
    <s v="IN"/>
    <x v="16"/>
    <s v="Dearborn"/>
    <n v="50679"/>
    <n v="305"/>
  </r>
  <r>
    <s v="IN"/>
    <x v="16"/>
    <s v="Decatur"/>
    <n v="26472"/>
    <n v="373"/>
  </r>
  <r>
    <s v="IN"/>
    <x v="16"/>
    <s v="DeKalb"/>
    <n v="43265"/>
    <n v="363"/>
  </r>
  <r>
    <s v="IN"/>
    <x v="16"/>
    <s v="Delaware"/>
    <n v="111903"/>
    <n v="392"/>
  </r>
  <r>
    <s v="IN"/>
    <x v="16"/>
    <s v="Dubois"/>
    <n v="43637"/>
    <n v="427"/>
  </r>
  <r>
    <s v="IN"/>
    <x v="16"/>
    <s v="Elkhart"/>
    <n v="207047"/>
    <n v="463"/>
  </r>
  <r>
    <s v="IN"/>
    <x v="16"/>
    <s v="Fayette"/>
    <n v="23398"/>
    <n v="215"/>
  </r>
  <r>
    <s v="IN"/>
    <x v="16"/>
    <s v="Floyd"/>
    <n v="80484"/>
    <n v="148"/>
  </r>
  <r>
    <s v="IN"/>
    <x v="16"/>
    <s v="Fountain"/>
    <n v="16479"/>
    <n v="396"/>
  </r>
  <r>
    <s v="IN"/>
    <x v="16"/>
    <s v="Franklin"/>
    <n v="22785"/>
    <n v="384"/>
  </r>
  <r>
    <s v="IN"/>
    <x v="16"/>
    <s v="Fulton"/>
    <n v="20480"/>
    <n v="368"/>
  </r>
  <r>
    <s v="IN"/>
    <x v="16"/>
    <s v="Gibson"/>
    <n v="33011"/>
    <n v="487"/>
  </r>
  <r>
    <s v="IN"/>
    <x v="16"/>
    <s v="Grant"/>
    <n v="66674"/>
    <n v="414"/>
  </r>
  <r>
    <s v="IN"/>
    <x v="16"/>
    <s v="Greene"/>
    <n v="30803"/>
    <n v="543"/>
  </r>
  <r>
    <s v="IN"/>
    <x v="16"/>
    <s v="Hamilton"/>
    <n v="347467"/>
    <n v="394"/>
  </r>
  <r>
    <s v="IN"/>
    <x v="16"/>
    <s v="Hancock"/>
    <n v="79840"/>
    <n v="306"/>
  </r>
  <r>
    <s v="IN"/>
    <x v="16"/>
    <s v="Harrison"/>
    <n v="39654"/>
    <n v="485"/>
  </r>
  <r>
    <s v="IN"/>
    <x v="16"/>
    <s v="Hendricks"/>
    <n v="174788"/>
    <n v="407"/>
  </r>
  <r>
    <s v="IN"/>
    <x v="16"/>
    <s v="Henry"/>
    <n v="48914"/>
    <n v="392"/>
  </r>
  <r>
    <s v="IN"/>
    <x v="16"/>
    <s v="Howard"/>
    <n v="83658"/>
    <n v="293"/>
  </r>
  <r>
    <s v="IN"/>
    <x v="16"/>
    <s v="Huntington"/>
    <n v="36662"/>
    <n v="383"/>
  </r>
  <r>
    <s v="IN"/>
    <x v="16"/>
    <s v="Jackson"/>
    <n v="46428"/>
    <n v="509"/>
  </r>
  <r>
    <s v="IN"/>
    <x v="16"/>
    <s v="Jasper"/>
    <n v="32918"/>
    <n v="560"/>
  </r>
  <r>
    <s v="IN"/>
    <x v="16"/>
    <s v="Jay"/>
    <n v="20478"/>
    <n v="384"/>
  </r>
  <r>
    <s v="IN"/>
    <x v="16"/>
    <s v="Jefferson"/>
    <n v="33147"/>
    <n v="361"/>
  </r>
  <r>
    <s v="IN"/>
    <x v="16"/>
    <s v="Jennings"/>
    <n v="27613"/>
    <n v="377"/>
  </r>
  <r>
    <s v="IN"/>
    <x v="16"/>
    <s v="Johnson"/>
    <n v="161765"/>
    <n v="320"/>
  </r>
  <r>
    <s v="IN"/>
    <x v="16"/>
    <s v="Knox"/>
    <n v="36282"/>
    <n v="516"/>
  </r>
  <r>
    <s v="IN"/>
    <x v="16"/>
    <s v="Kosciusko"/>
    <n v="80240"/>
    <n v="531"/>
  </r>
  <r>
    <s v="IN"/>
    <x v="16"/>
    <s v="LaGrange"/>
    <n v="40446"/>
    <n v="380"/>
  </r>
  <r>
    <s v="IN"/>
    <x v="16"/>
    <s v="Lake"/>
    <n v="498700"/>
    <n v="499"/>
  </r>
  <r>
    <s v="IN"/>
    <x v="16"/>
    <s v="LaPorte"/>
    <n v="112417"/>
    <n v="598"/>
  </r>
  <r>
    <s v="IN"/>
    <x v="16"/>
    <s v="Lawrence"/>
    <n v="45011"/>
    <n v="449"/>
  </r>
  <r>
    <s v="IN"/>
    <x v="16"/>
    <s v="Madison"/>
    <n v="130129"/>
    <n v="452"/>
  </r>
  <r>
    <s v="IN"/>
    <x v="16"/>
    <s v="Marion"/>
    <n v="977203"/>
    <n v="396"/>
  </r>
  <r>
    <s v="IN"/>
    <x v="16"/>
    <s v="Marshall"/>
    <n v="46095"/>
    <n v="444"/>
  </r>
  <r>
    <s v="IN"/>
    <x v="16"/>
    <s v="Martin"/>
    <n v="9812"/>
    <n v="336"/>
  </r>
  <r>
    <s v="IN"/>
    <x v="16"/>
    <s v="Miami"/>
    <n v="35962"/>
    <n v="374"/>
  </r>
  <r>
    <s v="IN"/>
    <x v="16"/>
    <s v="Monroe"/>
    <n v="139718"/>
    <n v="395"/>
  </r>
  <r>
    <s v="IN"/>
    <x v="16"/>
    <s v="Montgomery"/>
    <n v="37936"/>
    <n v="505"/>
  </r>
  <r>
    <s v="IN"/>
    <x v="16"/>
    <s v="Morgan"/>
    <n v="71780"/>
    <n v="404"/>
  </r>
  <r>
    <s v="IN"/>
    <x v="16"/>
    <s v="Newton"/>
    <n v="13830"/>
    <n v="402"/>
  </r>
  <r>
    <s v="IN"/>
    <x v="16"/>
    <s v="Noble"/>
    <n v="47457"/>
    <n v="411"/>
  </r>
  <r>
    <s v="IN"/>
    <x v="16"/>
    <s v="Ohio"/>
    <n v="5940"/>
    <n v="86"/>
  </r>
  <r>
    <s v="IN"/>
    <x v="16"/>
    <s v="Orange"/>
    <n v="19867"/>
    <n v="398"/>
  </r>
  <r>
    <s v="IN"/>
    <x v="16"/>
    <s v="Owen"/>
    <n v="21321"/>
    <n v="385"/>
  </r>
  <r>
    <s v="IN"/>
    <x v="16"/>
    <s v="Parke"/>
    <n v="16156"/>
    <n v="445"/>
  </r>
  <r>
    <s v="IN"/>
    <x v="16"/>
    <s v="Perry"/>
    <n v="19170"/>
    <n v="382"/>
  </r>
  <r>
    <s v="IN"/>
    <x v="16"/>
    <s v="Pike"/>
    <n v="12250"/>
    <n v="334"/>
  </r>
  <r>
    <s v="IN"/>
    <x v="16"/>
    <s v="Porter"/>
    <n v="173215"/>
    <n v="418"/>
  </r>
  <r>
    <s v="IN"/>
    <x v="16"/>
    <s v="Posey"/>
    <n v="25222"/>
    <n v="410"/>
  </r>
  <r>
    <s v="IN"/>
    <x v="16"/>
    <s v="Pulaski"/>
    <n v="12514"/>
    <n v="434"/>
  </r>
  <r>
    <s v="IN"/>
    <x v="16"/>
    <s v="Putnam"/>
    <n v="36726"/>
    <n v="481"/>
  </r>
  <r>
    <s v="IN"/>
    <x v="16"/>
    <s v="Randolph"/>
    <n v="24502"/>
    <n v="452"/>
  </r>
  <r>
    <s v="IN"/>
    <x v="16"/>
    <s v="Ripley"/>
    <n v="28995"/>
    <n v="446"/>
  </r>
  <r>
    <s v="IN"/>
    <x v="16"/>
    <s v="Rush"/>
    <n v="16752"/>
    <n v="408"/>
  </r>
  <r>
    <s v="IN"/>
    <x v="16"/>
    <s v="St. Joseph"/>
    <n v="272912"/>
    <n v="458"/>
  </r>
  <r>
    <s v="IN"/>
    <x v="16"/>
    <s v="Scott"/>
    <n v="24384"/>
    <n v="190"/>
  </r>
  <r>
    <s v="IN"/>
    <x v="16"/>
    <s v="Shelby"/>
    <n v="45055"/>
    <n v="411"/>
  </r>
  <r>
    <s v="IN"/>
    <x v="16"/>
    <s v="Spencer"/>
    <n v="19810"/>
    <n v="397"/>
  </r>
  <r>
    <s v="IN"/>
    <x v="16"/>
    <s v="Starke"/>
    <n v="23371"/>
    <n v="309"/>
  </r>
  <r>
    <s v="IN"/>
    <x v="16"/>
    <s v="Steuben"/>
    <n v="34435"/>
    <n v="309"/>
  </r>
  <r>
    <s v="IN"/>
    <x v="16"/>
    <s v="Sullivan"/>
    <n v="20817"/>
    <n v="447"/>
  </r>
  <r>
    <s v="IN"/>
    <x v="16"/>
    <s v="Switzerland"/>
    <n v="9737"/>
    <n v="221"/>
  </r>
  <r>
    <s v="IN"/>
    <x v="16"/>
    <s v="Tippecanoe"/>
    <n v="186251"/>
    <n v="500"/>
  </r>
  <r>
    <s v="IN"/>
    <x v="16"/>
    <s v="Tipton"/>
    <n v="15359"/>
    <n v="261"/>
  </r>
  <r>
    <s v="IN"/>
    <x v="16"/>
    <s v="Union"/>
    <n v="7087"/>
    <n v="161"/>
  </r>
  <r>
    <s v="IN"/>
    <x v="16"/>
    <s v="Vanderburgh"/>
    <n v="180136"/>
    <n v="233"/>
  </r>
  <r>
    <s v="IN"/>
    <x v="16"/>
    <s v="Vermillion"/>
    <n v="15439"/>
    <n v="257"/>
  </r>
  <r>
    <s v="IN"/>
    <x v="16"/>
    <s v="Vigo"/>
    <n v="106153"/>
    <n v="403"/>
  </r>
  <r>
    <s v="IN"/>
    <x v="16"/>
    <s v="Wabash"/>
    <n v="30976"/>
    <n v="412"/>
  </r>
  <r>
    <s v="IN"/>
    <x v="16"/>
    <s v="Warren"/>
    <n v="8440"/>
    <n v="365"/>
  </r>
  <r>
    <s v="IN"/>
    <x v="16"/>
    <s v="Warrick"/>
    <n v="63898"/>
    <n v="385"/>
  </r>
  <r>
    <s v="IN"/>
    <x v="16"/>
    <s v="Washington"/>
    <n v="28182"/>
    <n v="514"/>
  </r>
  <r>
    <s v="IN"/>
    <x v="16"/>
    <s v="Wayne"/>
    <n v="66553"/>
    <n v="402"/>
  </r>
  <r>
    <s v="IN"/>
    <x v="16"/>
    <s v="Wells"/>
    <n v="28180"/>
    <n v="368"/>
  </r>
  <r>
    <s v="IN"/>
    <x v="16"/>
    <s v="White"/>
    <n v="24688"/>
    <n v="505"/>
  </r>
  <r>
    <s v="IN"/>
    <x v="16"/>
    <s v="Whitley"/>
    <n v="34191"/>
    <n v="336"/>
  </r>
  <r>
    <s v="IA"/>
    <x v="17"/>
    <s v="Adair"/>
    <n v="7496"/>
    <n v="569"/>
  </r>
  <r>
    <s v="IA"/>
    <x v="17"/>
    <s v="Adams"/>
    <n v="3704"/>
    <n v="424"/>
  </r>
  <r>
    <s v="IA"/>
    <x v="17"/>
    <s v="Allamakee"/>
    <n v="14061"/>
    <n v="640"/>
  </r>
  <r>
    <s v="IA"/>
    <x v="17"/>
    <s v="Appanoose"/>
    <n v="12317"/>
    <n v="496"/>
  </r>
  <r>
    <s v="IA"/>
    <x v="17"/>
    <s v="Audubon"/>
    <n v="5674"/>
    <n v="443"/>
  </r>
  <r>
    <s v="IA"/>
    <x v="17"/>
    <s v="Benton"/>
    <n v="25575"/>
    <n v="716"/>
  </r>
  <r>
    <s v="IA"/>
    <x v="17"/>
    <s v="Black Hawk"/>
    <n v="131144"/>
    <n v="567"/>
  </r>
  <r>
    <s v="IA"/>
    <x v="17"/>
    <s v="Boone"/>
    <n v="26715"/>
    <n v="572"/>
  </r>
  <r>
    <s v="IA"/>
    <x v="17"/>
    <s v="Bremer"/>
    <n v="24988"/>
    <n v="428"/>
  </r>
  <r>
    <s v="IA"/>
    <x v="17"/>
    <s v="Buchanan"/>
    <n v="20565"/>
    <n v="571"/>
  </r>
  <r>
    <s v="IA"/>
    <x v="17"/>
    <s v="Buena Vista"/>
    <n v="20823"/>
    <n v="575"/>
  </r>
  <r>
    <s v="IA"/>
    <x v="17"/>
    <s v="Butler"/>
    <n v="14334"/>
    <n v="580"/>
  </r>
  <r>
    <s v="IA"/>
    <x v="17"/>
    <s v="Calhoun"/>
    <n v="9927"/>
    <n v="570"/>
  </r>
  <r>
    <s v="IA"/>
    <x v="17"/>
    <s v="Carroll"/>
    <n v="20760"/>
    <n v="569"/>
  </r>
  <r>
    <s v="IA"/>
    <x v="17"/>
    <s v="Cass"/>
    <n v="13127"/>
    <n v="564"/>
  </r>
  <r>
    <s v="IA"/>
    <x v="17"/>
    <s v="Cedar"/>
    <n v="18505"/>
    <n v="580"/>
  </r>
  <r>
    <s v="IA"/>
    <x v="17"/>
    <s v="Cerro Gordo"/>
    <n v="43127"/>
    <n v="568"/>
  </r>
  <r>
    <s v="IA"/>
    <x v="17"/>
    <s v="Cherokee"/>
    <n v="11658"/>
    <n v="577"/>
  </r>
  <r>
    <s v="IA"/>
    <x v="17"/>
    <s v="Chickasaw"/>
    <n v="12012"/>
    <n v="505"/>
  </r>
  <r>
    <s v="IA"/>
    <x v="17"/>
    <s v="Clarke"/>
    <n v="9748"/>
    <n v="431"/>
  </r>
  <r>
    <s v="IA"/>
    <x v="17"/>
    <s v="Clay"/>
    <n v="16384"/>
    <n v="569"/>
  </r>
  <r>
    <s v="IA"/>
    <x v="17"/>
    <s v="Clayton"/>
    <n v="17043"/>
    <n v="779"/>
  </r>
  <r>
    <s v="IA"/>
    <x v="17"/>
    <s v="Clinton"/>
    <n v="46460"/>
    <n v="695"/>
  </r>
  <r>
    <s v="IA"/>
    <x v="17"/>
    <s v="Crawford"/>
    <n v="16525"/>
    <n v="714"/>
  </r>
  <r>
    <s v="IA"/>
    <x v="17"/>
    <s v="Dallas"/>
    <n v="99678"/>
    <n v="586"/>
  </r>
  <r>
    <s v="IA"/>
    <x v="17"/>
    <s v="Davis"/>
    <n v="9110"/>
    <n v="503"/>
  </r>
  <r>
    <s v="IA"/>
    <x v="17"/>
    <s v="Decatur"/>
    <n v="7645"/>
    <n v="532"/>
  </r>
  <r>
    <s v="IA"/>
    <x v="17"/>
    <s v="Delaware"/>
    <n v="17488"/>
    <n v="578"/>
  </r>
  <r>
    <s v="IA"/>
    <x v="17"/>
    <s v="Des Moines"/>
    <n v="38910"/>
    <n v="416"/>
  </r>
  <r>
    <s v="IA"/>
    <x v="17"/>
    <s v="Dickinson"/>
    <n v="17703"/>
    <n v="381"/>
  </r>
  <r>
    <s v="IA"/>
    <x v="17"/>
    <s v="Dubuque"/>
    <n v="99266"/>
    <n v="608"/>
  </r>
  <r>
    <s v="IA"/>
    <x v="17"/>
    <s v="Emmet"/>
    <n v="9388"/>
    <n v="396"/>
  </r>
  <r>
    <s v="IA"/>
    <x v="17"/>
    <s v="Fayette"/>
    <n v="19509"/>
    <n v="731"/>
  </r>
  <r>
    <s v="IA"/>
    <x v="17"/>
    <s v="Floyd"/>
    <n v="15627"/>
    <n v="501"/>
  </r>
  <r>
    <s v="IA"/>
    <x v="17"/>
    <s v="Franklin"/>
    <n v="10019"/>
    <n v="582"/>
  </r>
  <r>
    <s v="IA"/>
    <x v="17"/>
    <s v="Fremont"/>
    <n v="6605"/>
    <n v="511"/>
  </r>
  <r>
    <s v="IA"/>
    <x v="17"/>
    <s v="Greene"/>
    <n v="8771"/>
    <n v="568"/>
  </r>
  <r>
    <s v="IA"/>
    <x v="17"/>
    <s v="Grundy"/>
    <n v="12329"/>
    <n v="503"/>
  </r>
  <r>
    <s v="IA"/>
    <x v="17"/>
    <s v="Guthrie"/>
    <n v="10623"/>
    <n v="591"/>
  </r>
  <r>
    <s v="IA"/>
    <x v="17"/>
    <s v="Hamilton"/>
    <n v="15039"/>
    <n v="577"/>
  </r>
  <r>
    <s v="IA"/>
    <x v="17"/>
    <s v="Hancock"/>
    <n v="10795"/>
    <n v="571"/>
  </r>
  <r>
    <s v="IA"/>
    <x v="17"/>
    <s v="Hardin"/>
    <n v="16878"/>
    <n v="569"/>
  </r>
  <r>
    <s v="IA"/>
    <x v="17"/>
    <s v="Harrison"/>
    <n v="14582"/>
    <n v="697"/>
  </r>
  <r>
    <s v="IA"/>
    <x v="17"/>
    <s v="Henry"/>
    <n v="20482"/>
    <n v="434"/>
  </r>
  <r>
    <s v="IA"/>
    <x v="17"/>
    <s v="Howard"/>
    <n v="9469"/>
    <n v="473"/>
  </r>
  <r>
    <s v="IA"/>
    <x v="17"/>
    <s v="Humboldt"/>
    <n v="9597"/>
    <n v="434"/>
  </r>
  <r>
    <s v="IA"/>
    <x v="17"/>
    <s v="Ida"/>
    <n v="7005"/>
    <n v="432"/>
  </r>
  <r>
    <s v="IA"/>
    <x v="17"/>
    <s v="Iowa"/>
    <n v="16662"/>
    <n v="586"/>
  </r>
  <r>
    <s v="IA"/>
    <x v="17"/>
    <s v="Jackson"/>
    <n v="19485"/>
    <n v="636"/>
  </r>
  <r>
    <s v="IA"/>
    <x v="17"/>
    <s v="Jasper"/>
    <n v="37813"/>
    <n v="730"/>
  </r>
  <r>
    <s v="IA"/>
    <x v="17"/>
    <s v="Jefferson"/>
    <n v="15663"/>
    <n v="435"/>
  </r>
  <r>
    <s v="IA"/>
    <x v="17"/>
    <s v="Johnson"/>
    <n v="152854"/>
    <n v="614"/>
  </r>
  <r>
    <s v="IA"/>
    <x v="17"/>
    <s v="Jones"/>
    <n v="20646"/>
    <n v="575"/>
  </r>
  <r>
    <s v="IA"/>
    <x v="17"/>
    <s v="Keokuk"/>
    <n v="10033"/>
    <n v="579"/>
  </r>
  <r>
    <s v="IA"/>
    <x v="17"/>
    <s v="Kossuth"/>
    <n v="14828"/>
    <n v="973"/>
  </r>
  <r>
    <s v="IA"/>
    <x v="17"/>
    <s v="Lee"/>
    <n v="33555"/>
    <n v="517"/>
  </r>
  <r>
    <s v="IA"/>
    <x v="17"/>
    <s v="Linn"/>
    <n v="230299"/>
    <n v="718"/>
  </r>
  <r>
    <s v="IA"/>
    <x v="17"/>
    <s v="Louisa"/>
    <n v="10837"/>
    <n v="402"/>
  </r>
  <r>
    <s v="IA"/>
    <x v="17"/>
    <s v="Lucas"/>
    <n v="8634"/>
    <n v="431"/>
  </r>
  <r>
    <s v="IA"/>
    <x v="17"/>
    <s v="Lyon"/>
    <n v="11934"/>
    <n v="588"/>
  </r>
  <r>
    <s v="IA"/>
    <x v="17"/>
    <s v="Madison"/>
    <n v="16548"/>
    <n v="561"/>
  </r>
  <r>
    <s v="IA"/>
    <x v="17"/>
    <s v="Mahaska"/>
    <n v="22190"/>
    <n v="571"/>
  </r>
  <r>
    <s v="IA"/>
    <x v="17"/>
    <s v="Marion"/>
    <n v="33414"/>
    <n v="554"/>
  </r>
  <r>
    <s v="IA"/>
    <x v="17"/>
    <s v="Marshall"/>
    <n v="40105"/>
    <n v="572"/>
  </r>
  <r>
    <s v="IA"/>
    <x v="17"/>
    <s v="Mills"/>
    <n v="14484"/>
    <n v="437"/>
  </r>
  <r>
    <s v="IA"/>
    <x v="17"/>
    <s v="Mitchell"/>
    <n v="10565"/>
    <n v="469"/>
  </r>
  <r>
    <s v="IA"/>
    <x v="17"/>
    <s v="Monona"/>
    <n v="8751"/>
    <n v="693"/>
  </r>
  <r>
    <s v="IA"/>
    <x v="17"/>
    <s v="Monroe"/>
    <n v="7577"/>
    <n v="433"/>
  </r>
  <r>
    <s v="IA"/>
    <x v="17"/>
    <s v="Montgomery"/>
    <n v="10330"/>
    <n v="424"/>
  </r>
  <r>
    <s v="IA"/>
    <x v="17"/>
    <s v="Muscatine"/>
    <n v="43235"/>
    <n v="439"/>
  </r>
  <r>
    <s v="IA"/>
    <x v="17"/>
    <s v="O'Brien"/>
    <n v="14182"/>
    <n v="573"/>
  </r>
  <r>
    <s v="IA"/>
    <x v="17"/>
    <s v="Osceola"/>
    <n v="6192"/>
    <n v="399"/>
  </r>
  <r>
    <s v="IA"/>
    <x v="17"/>
    <s v="Page"/>
    <n v="15211"/>
    <n v="535"/>
  </r>
  <r>
    <s v="IA"/>
    <x v="17"/>
    <s v="Palo Alto"/>
    <n v="8996"/>
    <n v="564"/>
  </r>
  <r>
    <s v="IA"/>
    <x v="17"/>
    <s v="Plymouth"/>
    <n v="25698"/>
    <n v="864"/>
  </r>
  <r>
    <s v="IA"/>
    <x v="17"/>
    <s v="Pocahontas"/>
    <n v="7078"/>
    <n v="578"/>
  </r>
  <r>
    <s v="IA"/>
    <x v="17"/>
    <s v="Polk"/>
    <n v="492401"/>
    <n v="570"/>
  </r>
  <r>
    <s v="IA"/>
    <x v="17"/>
    <s v="Pottawattamie"/>
    <n v="93667"/>
    <n v="954"/>
  </r>
  <r>
    <s v="IA"/>
    <x v="17"/>
    <s v="Poweshiek"/>
    <n v="18662"/>
    <n v="585"/>
  </r>
  <r>
    <s v="IA"/>
    <x v="17"/>
    <s v="Ringgold"/>
    <n v="4663"/>
    <n v="538"/>
  </r>
  <r>
    <s v="IA"/>
    <x v="17"/>
    <s v="Sac"/>
    <n v="9814"/>
    <n v="576"/>
  </r>
  <r>
    <s v="IA"/>
    <x v="17"/>
    <s v="Scott"/>
    <n v="174669"/>
    <n v="458"/>
  </r>
  <r>
    <s v="IA"/>
    <x v="17"/>
    <s v="Shelby"/>
    <n v="11746"/>
    <n v="591"/>
  </r>
  <r>
    <s v="IA"/>
    <x v="17"/>
    <s v="Sioux"/>
    <n v="35872"/>
    <n v="768"/>
  </r>
  <r>
    <s v="IA"/>
    <x v="17"/>
    <s v="Story"/>
    <n v="98537"/>
    <n v="573"/>
  </r>
  <r>
    <s v="IA"/>
    <x v="17"/>
    <s v="Tama"/>
    <n v="17135"/>
    <n v="721"/>
  </r>
  <r>
    <s v="IA"/>
    <x v="17"/>
    <s v="Taylor"/>
    <n v="5896"/>
    <n v="534"/>
  </r>
  <r>
    <s v="IA"/>
    <x v="17"/>
    <s v="Union"/>
    <n v="12138"/>
    <n v="424"/>
  </r>
  <r>
    <s v="IA"/>
    <x v="17"/>
    <s v="Van Buren"/>
    <n v="7203"/>
    <n v="485"/>
  </r>
  <r>
    <s v="IA"/>
    <x v="17"/>
    <s v="Wapello"/>
    <n v="35437"/>
    <n v="432"/>
  </r>
  <r>
    <s v="IA"/>
    <x v="17"/>
    <s v="Warren"/>
    <n v="52403"/>
    <n v="572"/>
  </r>
  <r>
    <s v="IA"/>
    <x v="17"/>
    <s v="Washington"/>
    <n v="22565"/>
    <n v="569"/>
  </r>
  <r>
    <s v="IA"/>
    <x v="17"/>
    <s v="Wayne"/>
    <n v="6497"/>
    <n v="526"/>
  </r>
  <r>
    <s v="IA"/>
    <x v="17"/>
    <s v="Webster"/>
    <n v="36999"/>
    <n v="715"/>
  </r>
  <r>
    <s v="IA"/>
    <x v="17"/>
    <s v="Winnebago"/>
    <n v="10679"/>
    <n v="400"/>
  </r>
  <r>
    <s v="IA"/>
    <x v="17"/>
    <s v="Winneshiek"/>
    <n v="20070"/>
    <n v="690"/>
  </r>
  <r>
    <s v="IA"/>
    <x v="17"/>
    <s v="Woodbury"/>
    <n v="105941"/>
    <n v="873"/>
  </r>
  <r>
    <s v="IA"/>
    <x v="17"/>
    <s v="Worth"/>
    <n v="7443"/>
    <n v="400"/>
  </r>
  <r>
    <s v="IA"/>
    <x v="17"/>
    <s v="Wright"/>
    <n v="12943"/>
    <n v="581"/>
  </r>
  <r>
    <s v="KS"/>
    <x v="18"/>
    <s v="Allen"/>
    <n v="12526"/>
    <n v="503"/>
  </r>
  <r>
    <s v="KS"/>
    <x v="18"/>
    <s v="Anderson"/>
    <n v="7836"/>
    <n v="583"/>
  </r>
  <r>
    <s v="KS"/>
    <x v="18"/>
    <s v="Atchison"/>
    <n v="16348"/>
    <n v="432"/>
  </r>
  <r>
    <s v="KS"/>
    <x v="18"/>
    <s v="Barber"/>
    <n v="4228"/>
    <n v="1134"/>
  </r>
  <r>
    <s v="KS"/>
    <x v="18"/>
    <s v="Barton"/>
    <n v="25493"/>
    <n v="894"/>
  </r>
  <r>
    <s v="KS"/>
    <x v="18"/>
    <s v="Bourbon"/>
    <n v="14360"/>
    <n v="637"/>
  </r>
  <r>
    <s v="KS"/>
    <x v="18"/>
    <s v="Brown"/>
    <n v="9508"/>
    <n v="571"/>
  </r>
  <r>
    <s v="KS"/>
    <x v="18"/>
    <s v="Butler"/>
    <n v="67380"/>
    <n v="1428"/>
  </r>
  <r>
    <s v="KS"/>
    <x v="18"/>
    <s v="Chase"/>
    <n v="2572"/>
    <n v="776"/>
  </r>
  <r>
    <s v="KS"/>
    <x v="18"/>
    <s v="Chautauqua"/>
    <n v="3379"/>
    <n v="642"/>
  </r>
  <r>
    <s v="KS"/>
    <x v="18"/>
    <s v="Cherokee"/>
    <n v="19362"/>
    <n v="587"/>
  </r>
  <r>
    <s v="KS"/>
    <x v="18"/>
    <s v="Cheyenne"/>
    <n v="2616"/>
    <n v="1020"/>
  </r>
  <r>
    <s v="KS"/>
    <x v="18"/>
    <s v="Clark"/>
    <n v="1991"/>
    <n v="975"/>
  </r>
  <r>
    <s v="KS"/>
    <x v="18"/>
    <s v="Clay"/>
    <n v="8117"/>
    <n v="644"/>
  </r>
  <r>
    <s v="KS"/>
    <x v="18"/>
    <s v="Cloud"/>
    <n v="9032"/>
    <n v="716"/>
  </r>
  <r>
    <s v="KS"/>
    <x v="18"/>
    <s v="Coffey"/>
    <n v="8360"/>
    <n v="630"/>
  </r>
  <r>
    <s v="KS"/>
    <x v="18"/>
    <s v="Comanche"/>
    <n v="1689"/>
    <n v="788"/>
  </r>
  <r>
    <s v="KS"/>
    <x v="18"/>
    <s v="Cowley"/>
    <n v="34549"/>
    <n v="1126"/>
  </r>
  <r>
    <s v="KS"/>
    <x v="18"/>
    <s v="Crawford"/>
    <n v="38972"/>
    <n v="593"/>
  </r>
  <r>
    <s v="KS"/>
    <x v="18"/>
    <s v="Decatur"/>
    <n v="2764"/>
    <n v="894"/>
  </r>
  <r>
    <s v="KS"/>
    <x v="18"/>
    <s v="Dickinson"/>
    <n v="18402"/>
    <n v="848"/>
  </r>
  <r>
    <s v="KS"/>
    <x v="18"/>
    <s v="Doniphan"/>
    <n v="7510"/>
    <n v="392"/>
  </r>
  <r>
    <s v="KS"/>
    <x v="18"/>
    <s v="Douglas"/>
    <n v="118785"/>
    <n v="457"/>
  </r>
  <r>
    <s v="KS"/>
    <x v="18"/>
    <s v="Edwards"/>
    <n v="2907"/>
    <n v="622"/>
  </r>
  <r>
    <s v="KS"/>
    <x v="18"/>
    <s v="Elk"/>
    <n v="2483"/>
    <n v="648"/>
  </r>
  <r>
    <s v="KS"/>
    <x v="18"/>
    <s v="Ellis"/>
    <n v="28934"/>
    <n v="900"/>
  </r>
  <r>
    <s v="KS"/>
    <x v="18"/>
    <s v="Ellsworth"/>
    <n v="6376"/>
    <n v="716"/>
  </r>
  <r>
    <s v="KS"/>
    <x v="18"/>
    <s v="Finney"/>
    <n v="38470"/>
    <n v="1300"/>
  </r>
  <r>
    <s v="KS"/>
    <x v="18"/>
    <s v="Ford"/>
    <n v="34287"/>
    <n v="1099"/>
  </r>
  <r>
    <s v="KS"/>
    <x v="18"/>
    <s v="Franklin"/>
    <n v="25996"/>
    <n v="574"/>
  </r>
  <r>
    <s v="KS"/>
    <x v="18"/>
    <s v="Geary"/>
    <n v="36739"/>
    <n v="384"/>
  </r>
  <r>
    <s v="KS"/>
    <x v="18"/>
    <s v="Gove"/>
    <n v="2718"/>
    <n v="1072"/>
  </r>
  <r>
    <s v="KS"/>
    <x v="18"/>
    <s v="Graham"/>
    <n v="2415"/>
    <n v="898"/>
  </r>
  <r>
    <s v="KS"/>
    <x v="18"/>
    <s v="Grant"/>
    <n v="7352"/>
    <n v="575"/>
  </r>
  <r>
    <s v="KS"/>
    <x v="18"/>
    <s v="Gray"/>
    <n v="5653"/>
    <n v="869"/>
  </r>
  <r>
    <s v="KS"/>
    <x v="18"/>
    <s v="Greeley"/>
    <n v="1284"/>
    <n v="778"/>
  </r>
  <r>
    <s v="KS"/>
    <x v="18"/>
    <s v="Greenwood"/>
    <n v="6016"/>
    <n v="1140"/>
  </r>
  <r>
    <s v="KS"/>
    <x v="18"/>
    <s v="Hamilton"/>
    <n v="2518"/>
    <n v="996"/>
  </r>
  <r>
    <s v="KS"/>
    <x v="18"/>
    <s v="Harper"/>
    <n v="5485"/>
    <n v="802"/>
  </r>
  <r>
    <s v="KS"/>
    <x v="18"/>
    <s v="Harvey"/>
    <n v="34024"/>
    <n v="539"/>
  </r>
  <r>
    <s v="KS"/>
    <x v="18"/>
    <s v="Haskell"/>
    <n v="3780"/>
    <n v="577"/>
  </r>
  <r>
    <s v="KS"/>
    <x v="18"/>
    <s v="Hodgeman"/>
    <n v="1723"/>
    <n v="860"/>
  </r>
  <r>
    <s v="KS"/>
    <x v="18"/>
    <s v="Jackson"/>
    <n v="13232"/>
    <n v="657"/>
  </r>
  <r>
    <s v="KS"/>
    <x v="18"/>
    <s v="Jefferson"/>
    <n v="18368"/>
    <n v="536"/>
  </r>
  <r>
    <s v="KS"/>
    <x v="18"/>
    <s v="Jewell"/>
    <n v="2932"/>
    <n v="909"/>
  </r>
  <r>
    <s v="KS"/>
    <x v="18"/>
    <s v="Johnson"/>
    <n v="609863"/>
    <n v="477"/>
  </r>
  <r>
    <s v="KS"/>
    <x v="18"/>
    <s v="Kearny"/>
    <n v="3983"/>
    <n v="870"/>
  </r>
  <r>
    <s v="KS"/>
    <x v="18"/>
    <s v="Kingman"/>
    <n v="7470"/>
    <n v="864"/>
  </r>
  <r>
    <s v="KS"/>
    <x v="18"/>
    <s v="Kiowa"/>
    <n v="2460"/>
    <n v="722"/>
  </r>
  <r>
    <s v="KS"/>
    <x v="18"/>
    <s v="Labette"/>
    <n v="20184"/>
    <n v="649"/>
  </r>
  <r>
    <s v="KS"/>
    <x v="18"/>
    <s v="Lane"/>
    <n v="1574"/>
    <n v="717"/>
  </r>
  <r>
    <s v="KS"/>
    <x v="18"/>
    <s v="Leavenworth"/>
    <n v="81881"/>
    <n v="463"/>
  </r>
  <r>
    <s v="KS"/>
    <x v="18"/>
    <s v="Lincoln"/>
    <n v="2939"/>
    <n v="719"/>
  </r>
  <r>
    <s v="KS"/>
    <x v="18"/>
    <s v="Linn"/>
    <n v="9591"/>
    <n v="599"/>
  </r>
  <r>
    <s v="KS"/>
    <x v="18"/>
    <s v="Logan"/>
    <n v="2762"/>
    <n v="1073"/>
  </r>
  <r>
    <s v="KS"/>
    <x v="18"/>
    <s v="Lyon"/>
    <n v="32179"/>
    <n v="851"/>
  </r>
  <r>
    <s v="KS"/>
    <x v="18"/>
    <s v="Marion"/>
    <n v="11823"/>
    <n v="903"/>
  </r>
  <r>
    <s v="KS"/>
    <x v="18"/>
    <s v="Marshall"/>
    <n v="10038"/>
    <n v="900"/>
  </r>
  <r>
    <s v="KS"/>
    <x v="18"/>
    <s v="McPherson"/>
    <n v="30223"/>
    <n v="943"/>
  </r>
  <r>
    <s v="KS"/>
    <x v="18"/>
    <s v="Meade"/>
    <n v="4055"/>
    <n v="978"/>
  </r>
  <r>
    <s v="KS"/>
    <x v="18"/>
    <s v="Miami"/>
    <n v="34191"/>
    <n v="577"/>
  </r>
  <r>
    <s v="KS"/>
    <x v="18"/>
    <s v="Mitchell"/>
    <n v="5796"/>
    <n v="700"/>
  </r>
  <r>
    <s v="KS"/>
    <x v="18"/>
    <s v="Montgomery"/>
    <n v="31486"/>
    <n v="645"/>
  </r>
  <r>
    <s v="KS"/>
    <x v="18"/>
    <s v="Morris"/>
    <n v="5386"/>
    <n v="697"/>
  </r>
  <r>
    <s v="KS"/>
    <x v="18"/>
    <s v="Morton"/>
    <n v="2701"/>
    <n v="730"/>
  </r>
  <r>
    <s v="KS"/>
    <x v="18"/>
    <s v="Nemaha"/>
    <n v="10273"/>
    <n v="719"/>
  </r>
  <r>
    <s v="KS"/>
    <x v="18"/>
    <s v="Neosho"/>
    <n v="15904"/>
    <n v="572"/>
  </r>
  <r>
    <s v="KS"/>
    <x v="18"/>
    <s v="Ness"/>
    <n v="2687"/>
    <n v="1075"/>
  </r>
  <r>
    <s v="KS"/>
    <x v="18"/>
    <s v="Norton"/>
    <n v="5459"/>
    <n v="878"/>
  </r>
  <r>
    <s v="KS"/>
    <x v="18"/>
    <s v="Osage"/>
    <n v="15766"/>
    <n v="704"/>
  </r>
  <r>
    <s v="KS"/>
    <x v="18"/>
    <s v="Osborne"/>
    <n v="3500"/>
    <n v="893"/>
  </r>
  <r>
    <s v="KS"/>
    <x v="18"/>
    <s v="Ottawa"/>
    <n v="5735"/>
    <n v="721"/>
  </r>
  <r>
    <s v="KS"/>
    <x v="18"/>
    <s v="Pawnee"/>
    <n v="6253"/>
    <n v="754"/>
  </r>
  <r>
    <s v="KS"/>
    <x v="18"/>
    <s v="Phillips"/>
    <n v="4981"/>
    <n v="886"/>
  </r>
  <r>
    <s v="KS"/>
    <x v="18"/>
    <s v="Pottawatomie"/>
    <n v="25348"/>
    <n v="844"/>
  </r>
  <r>
    <s v="KS"/>
    <x v="18"/>
    <s v="Pratt"/>
    <n v="9157"/>
    <n v="735"/>
  </r>
  <r>
    <s v="KS"/>
    <x v="18"/>
    <s v="Rawlins"/>
    <n v="2561"/>
    <n v="1070"/>
  </r>
  <r>
    <s v="KS"/>
    <x v="18"/>
    <s v="Reno"/>
    <n v="61898"/>
    <n v="1254"/>
  </r>
  <r>
    <s v="KS"/>
    <x v="18"/>
    <s v="Republic"/>
    <n v="4674"/>
    <n v="716"/>
  </r>
  <r>
    <s v="KS"/>
    <x v="18"/>
    <s v="Rice"/>
    <n v="9427"/>
    <n v="727"/>
  </r>
  <r>
    <s v="KS"/>
    <x v="18"/>
    <s v="Riley"/>
    <n v="71959"/>
    <n v="610"/>
  </r>
  <r>
    <s v="KS"/>
    <x v="18"/>
    <s v="Rooks"/>
    <n v="4919"/>
    <n v="888"/>
  </r>
  <r>
    <s v="KS"/>
    <x v="18"/>
    <s v="Rush"/>
    <n v="2956"/>
    <n v="718"/>
  </r>
  <r>
    <s v="KS"/>
    <x v="18"/>
    <s v="Russell"/>
    <n v="6691"/>
    <n v="885"/>
  </r>
  <r>
    <s v="KS"/>
    <x v="18"/>
    <s v="Saline"/>
    <n v="54303"/>
    <n v="720"/>
  </r>
  <r>
    <s v="KS"/>
    <x v="18"/>
    <s v="Scott"/>
    <n v="5151"/>
    <n v="718"/>
  </r>
  <r>
    <s v="KS"/>
    <x v="18"/>
    <s v="Sedgwick"/>
    <n v="523824"/>
    <n v="1000"/>
  </r>
  <r>
    <s v="KS"/>
    <x v="18"/>
    <s v="Seward"/>
    <n v="21964"/>
    <n v="640"/>
  </r>
  <r>
    <s v="KS"/>
    <x v="18"/>
    <s v="Shawnee"/>
    <n v="178909"/>
    <n v="550"/>
  </r>
  <r>
    <s v="KS"/>
    <x v="18"/>
    <s v="Sheridan"/>
    <n v="2447"/>
    <n v="896"/>
  </r>
  <r>
    <s v="KS"/>
    <x v="18"/>
    <s v="Sherman"/>
    <n v="5927"/>
    <n v="1056"/>
  </r>
  <r>
    <s v="KS"/>
    <x v="18"/>
    <s v="Smith"/>
    <n v="3570"/>
    <n v="896"/>
  </r>
  <r>
    <s v="KS"/>
    <x v="18"/>
    <s v="Stafford"/>
    <n v="4072"/>
    <n v="792"/>
  </r>
  <r>
    <s v="KS"/>
    <x v="18"/>
    <s v="Stanton"/>
    <n v="2084"/>
    <n v="680"/>
  </r>
  <r>
    <s v="KS"/>
    <x v="18"/>
    <s v="Stevens"/>
    <n v="5250"/>
    <n v="728"/>
  </r>
  <r>
    <s v="KS"/>
    <x v="18"/>
    <s v="Sumner"/>
    <n v="22382"/>
    <n v="1182"/>
  </r>
  <r>
    <s v="KS"/>
    <x v="18"/>
    <s v="Thomas"/>
    <n v="7930"/>
    <n v="1075"/>
  </r>
  <r>
    <s v="KS"/>
    <x v="18"/>
    <s v="Trego"/>
    <n v="2808"/>
    <n v="888"/>
  </r>
  <r>
    <s v="KS"/>
    <x v="18"/>
    <s v="Wabaunsee"/>
    <n v="6877"/>
    <n v="798"/>
  </r>
  <r>
    <s v="KS"/>
    <x v="18"/>
    <s v="Wallace"/>
    <n v="1512"/>
    <n v="914"/>
  </r>
  <r>
    <s v="KS"/>
    <x v="18"/>
    <s v="Washington"/>
    <n v="5530"/>
    <n v="898"/>
  </r>
  <r>
    <s v="KS"/>
    <x v="18"/>
    <s v="Wichita"/>
    <n v="2152"/>
    <n v="719"/>
  </r>
  <r>
    <s v="KS"/>
    <x v="18"/>
    <s v="Wilson"/>
    <n v="8624"/>
    <n v="574"/>
  </r>
  <r>
    <s v="KS"/>
    <x v="18"/>
    <s v="Woodson"/>
    <n v="3115"/>
    <n v="501"/>
  </r>
  <r>
    <s v="KS"/>
    <x v="18"/>
    <s v="Wyandotte"/>
    <n v="169245"/>
    <n v="151"/>
  </r>
  <r>
    <s v="KY"/>
    <x v="19"/>
    <s v="Adair"/>
    <n v="18903"/>
    <n v="407"/>
  </r>
  <r>
    <s v="KY"/>
    <x v="19"/>
    <s v="Allen"/>
    <n v="20588"/>
    <n v="344"/>
  </r>
  <r>
    <s v="KY"/>
    <x v="19"/>
    <s v="Anderson"/>
    <n v="23852"/>
    <n v="203"/>
  </r>
  <r>
    <s v="KY"/>
    <x v="19"/>
    <s v="Ballard"/>
    <n v="7728"/>
    <n v="251"/>
  </r>
  <r>
    <s v="KY"/>
    <x v="19"/>
    <s v="Barren"/>
    <n v="44485"/>
    <n v="491"/>
  </r>
  <r>
    <s v="KY"/>
    <x v="19"/>
    <s v="Bath"/>
    <n v="12750"/>
    <n v="279"/>
  </r>
  <r>
    <s v="KY"/>
    <x v="19"/>
    <s v="Bell"/>
    <n v="24097"/>
    <n v="361"/>
  </r>
  <r>
    <s v="KY"/>
    <x v="19"/>
    <s v="Boone"/>
    <n v="135968"/>
    <n v="246"/>
  </r>
  <r>
    <s v="KY"/>
    <x v="19"/>
    <s v="Bourbon"/>
    <n v="20252"/>
    <n v="291"/>
  </r>
  <r>
    <s v="KY"/>
    <x v="19"/>
    <s v="Boyd"/>
    <n v="48261"/>
    <n v="160"/>
  </r>
  <r>
    <s v="KY"/>
    <x v="19"/>
    <s v="Boyle"/>
    <n v="30614"/>
    <n v="182"/>
  </r>
  <r>
    <s v="KY"/>
    <x v="19"/>
    <s v="Bracken"/>
    <n v="8400"/>
    <n v="203"/>
  </r>
  <r>
    <s v="KY"/>
    <x v="19"/>
    <s v="Breathitt"/>
    <n v="13718"/>
    <n v="495"/>
  </r>
  <r>
    <s v="KY"/>
    <x v="19"/>
    <s v="Breckinridge"/>
    <n v="20432"/>
    <n v="572"/>
  </r>
  <r>
    <s v="KY"/>
    <x v="19"/>
    <s v="Bullitt"/>
    <n v="82217"/>
    <n v="299"/>
  </r>
  <r>
    <s v="KY"/>
    <x v="19"/>
    <s v="Butler"/>
    <n v="12371"/>
    <n v="428"/>
  </r>
  <r>
    <s v="KY"/>
    <x v="19"/>
    <s v="Caldwell"/>
    <n v="12649"/>
    <n v="347"/>
  </r>
  <r>
    <s v="KY"/>
    <x v="19"/>
    <s v="Calloway"/>
    <n v="37103"/>
    <n v="386"/>
  </r>
  <r>
    <s v="KY"/>
    <x v="19"/>
    <s v="Campbell"/>
    <n v="93076"/>
    <n v="152"/>
  </r>
  <r>
    <s v="KY"/>
    <x v="19"/>
    <s v="Carlisle"/>
    <n v="4826"/>
    <n v="192"/>
  </r>
  <r>
    <s v="KY"/>
    <x v="19"/>
    <s v="Carroll"/>
    <n v="10810"/>
    <n v="130"/>
  </r>
  <r>
    <s v="KY"/>
    <x v="19"/>
    <s v="Carter"/>
    <n v="26627"/>
    <n v="411"/>
  </r>
  <r>
    <s v="KY"/>
    <x v="19"/>
    <s v="Casey"/>
    <n v="15941"/>
    <n v="446"/>
  </r>
  <r>
    <s v="KY"/>
    <x v="19"/>
    <s v="Christian"/>
    <n v="72748"/>
    <n v="721"/>
  </r>
  <r>
    <s v="KY"/>
    <x v="19"/>
    <s v="Clark"/>
    <n v="36972"/>
    <n v="254"/>
  </r>
  <r>
    <s v="KY"/>
    <x v="19"/>
    <s v="Clay"/>
    <n v="20345"/>
    <n v="471"/>
  </r>
  <r>
    <s v="KY"/>
    <x v="19"/>
    <s v="Clinton"/>
    <n v="9253"/>
    <n v="198"/>
  </r>
  <r>
    <s v="KY"/>
    <x v="19"/>
    <s v="Crittenden"/>
    <n v="8990"/>
    <n v="362"/>
  </r>
  <r>
    <s v="KY"/>
    <x v="19"/>
    <s v="Cumberland"/>
    <n v="5888"/>
    <n v="306"/>
  </r>
  <r>
    <s v="KY"/>
    <x v="19"/>
    <s v="Daviess"/>
    <n v="103312"/>
    <n v="462"/>
  </r>
  <r>
    <s v="KY"/>
    <x v="19"/>
    <s v="Edmonson"/>
    <n v="12126"/>
    <n v="303"/>
  </r>
  <r>
    <s v="KY"/>
    <x v="19"/>
    <s v="Elliott"/>
    <n v="7354"/>
    <n v="234"/>
  </r>
  <r>
    <s v="KY"/>
    <x v="19"/>
    <s v="Estill"/>
    <n v="14163"/>
    <n v="254"/>
  </r>
  <r>
    <s v="KY"/>
    <x v="19"/>
    <s v="Fayette"/>
    <n v="322570"/>
    <n v="284"/>
  </r>
  <r>
    <s v="KY"/>
    <x v="19"/>
    <s v="Fleming"/>
    <n v="15082"/>
    <n v="351"/>
  </r>
  <r>
    <s v="KY"/>
    <x v="19"/>
    <s v="Floyd"/>
    <n v="35942"/>
    <n v="394"/>
  </r>
  <r>
    <s v="KY"/>
    <x v="19"/>
    <s v="Franklin"/>
    <n v="51541"/>
    <n v="210"/>
  </r>
  <r>
    <s v="KY"/>
    <x v="19"/>
    <s v="Fulton"/>
    <n v="6515"/>
    <n v="209"/>
  </r>
  <r>
    <s v="KY"/>
    <x v="19"/>
    <s v="Gallatin"/>
    <n v="8690"/>
    <n v="105"/>
  </r>
  <r>
    <s v="KY"/>
    <x v="19"/>
    <s v="Garrard"/>
    <n v="16953"/>
    <n v="231"/>
  </r>
  <r>
    <s v="KY"/>
    <x v="19"/>
    <s v="Grant"/>
    <n v="24941"/>
    <n v="260"/>
  </r>
  <r>
    <s v="KY"/>
    <x v="19"/>
    <s v="Graves"/>
    <n v="36649"/>
    <n v="556"/>
  </r>
  <r>
    <s v="KY"/>
    <x v="19"/>
    <s v="Grayson"/>
    <n v="26420"/>
    <n v="504"/>
  </r>
  <r>
    <s v="KY"/>
    <x v="19"/>
    <s v="Green"/>
    <n v="11107"/>
    <n v="289"/>
  </r>
  <r>
    <s v="KY"/>
    <x v="19"/>
    <s v="Greenup"/>
    <n v="35962"/>
    <n v="346"/>
  </r>
  <r>
    <s v="KY"/>
    <x v="19"/>
    <s v="Hancock"/>
    <n v="9095"/>
    <n v="189"/>
  </r>
  <r>
    <s v="KY"/>
    <x v="19"/>
    <s v="Hardin"/>
    <n v="110702"/>
    <n v="628"/>
  </r>
  <r>
    <s v="KY"/>
    <x v="19"/>
    <s v="Harlan"/>
    <n v="26831"/>
    <n v="467"/>
  </r>
  <r>
    <s v="KY"/>
    <x v="19"/>
    <s v="Harrison"/>
    <n v="18692"/>
    <n v="310"/>
  </r>
  <r>
    <s v="KY"/>
    <x v="19"/>
    <s v="Hart"/>
    <n v="19288"/>
    <n v="416"/>
  </r>
  <r>
    <s v="KY"/>
    <x v="19"/>
    <s v="Henderson"/>
    <n v="44793"/>
    <n v="440"/>
  </r>
  <r>
    <s v="KY"/>
    <x v="19"/>
    <s v="Henry"/>
    <n v="15678"/>
    <n v="289"/>
  </r>
  <r>
    <s v="KY"/>
    <x v="19"/>
    <s v="Hickman"/>
    <n v="4521"/>
    <n v="244"/>
  </r>
  <r>
    <s v="KY"/>
    <x v="19"/>
    <s v="Hopkins"/>
    <n v="45423"/>
    <n v="551"/>
  </r>
  <r>
    <s v="KY"/>
    <x v="19"/>
    <s v="Jackson"/>
    <n v="12955"/>
    <n v="346"/>
  </r>
  <r>
    <s v="KY"/>
    <x v="19"/>
    <s v="Jefferson"/>
    <n v="782969"/>
    <n v="385"/>
  </r>
  <r>
    <s v="KY"/>
    <x v="19"/>
    <s v="Jessamine"/>
    <n v="52991"/>
    <n v="173"/>
  </r>
  <r>
    <s v="KY"/>
    <x v="19"/>
    <s v="Johnson"/>
    <n v="22680"/>
    <n v="262"/>
  </r>
  <r>
    <s v="KY"/>
    <x v="19"/>
    <s v="Kenton"/>
    <n v="169064"/>
    <n v="163"/>
  </r>
  <r>
    <s v="KY"/>
    <x v="19"/>
    <s v="Knott"/>
    <n v="14251"/>
    <n v="352"/>
  </r>
  <r>
    <s v="KY"/>
    <x v="19"/>
    <s v="Knox"/>
    <n v="30193"/>
    <n v="388"/>
  </r>
  <r>
    <s v="KY"/>
    <x v="19"/>
    <s v="LaRue"/>
    <n v="14867"/>
    <n v="263"/>
  </r>
  <r>
    <s v="KY"/>
    <x v="19"/>
    <s v="Laurel"/>
    <n v="62613"/>
    <n v="436"/>
  </r>
  <r>
    <s v="KY"/>
    <x v="19"/>
    <s v="Lawrence"/>
    <n v="16293"/>
    <n v="419"/>
  </r>
  <r>
    <s v="KY"/>
    <x v="19"/>
    <s v="Lee"/>
    <n v="7395"/>
    <n v="210"/>
  </r>
  <r>
    <s v="KY"/>
    <x v="19"/>
    <s v="Leslie"/>
    <n v="10513"/>
    <n v="404"/>
  </r>
  <r>
    <s v="KY"/>
    <x v="19"/>
    <s v="Letcher"/>
    <n v="21548"/>
    <n v="339"/>
  </r>
  <r>
    <s v="KY"/>
    <x v="19"/>
    <s v="Lewis"/>
    <n v="13080"/>
    <n v="484"/>
  </r>
  <r>
    <s v="KY"/>
    <x v="19"/>
    <s v="Lincoln"/>
    <n v="24275"/>
    <n v="337"/>
  </r>
  <r>
    <s v="KY"/>
    <x v="19"/>
    <s v="Livingston"/>
    <n v="8888"/>
    <n v="316"/>
  </r>
  <r>
    <s v="KY"/>
    <x v="19"/>
    <s v="Logan"/>
    <n v="27432"/>
    <n v="556"/>
  </r>
  <r>
    <s v="KY"/>
    <x v="19"/>
    <s v="Lyon"/>
    <n v="8680"/>
    <n v="216"/>
  </r>
  <r>
    <s v="KY"/>
    <x v="19"/>
    <s v="Madison"/>
    <n v="92701"/>
    <n v="441"/>
  </r>
  <r>
    <s v="KY"/>
    <x v="19"/>
    <s v="Magoffin"/>
    <n v="11637"/>
    <n v="310"/>
  </r>
  <r>
    <s v="KY"/>
    <x v="19"/>
    <s v="Marion"/>
    <n v="19581"/>
    <n v="347"/>
  </r>
  <r>
    <s v="KY"/>
    <x v="19"/>
    <s v="Marshall"/>
    <n v="31659"/>
    <n v="305"/>
  </r>
  <r>
    <s v="KY"/>
    <x v="19"/>
    <s v="Martin"/>
    <n v="11287"/>
    <n v="231"/>
  </r>
  <r>
    <s v="KY"/>
    <x v="19"/>
    <s v="Mason"/>
    <n v="17120"/>
    <n v="241"/>
  </r>
  <r>
    <s v="KY"/>
    <x v="19"/>
    <s v="McCracken"/>
    <n v="67875"/>
    <n v="251"/>
  </r>
  <r>
    <s v="KY"/>
    <x v="19"/>
    <s v="McCreary"/>
    <n v="16888"/>
    <n v="428"/>
  </r>
  <r>
    <s v="KY"/>
    <x v="19"/>
    <s v="McLean"/>
    <n v="9152"/>
    <n v="254"/>
  </r>
  <r>
    <s v="KY"/>
    <x v="19"/>
    <s v="Meade"/>
    <n v="30003"/>
    <n v="308"/>
  </r>
  <r>
    <s v="KY"/>
    <x v="19"/>
    <s v="Menifee"/>
    <n v="6113"/>
    <n v="204"/>
  </r>
  <r>
    <s v="KY"/>
    <x v="19"/>
    <s v="Mercer"/>
    <n v="22641"/>
    <n v="251"/>
  </r>
  <r>
    <s v="KY"/>
    <x v="19"/>
    <s v="Metcalfe"/>
    <n v="10286"/>
    <n v="291"/>
  </r>
  <r>
    <s v="KY"/>
    <x v="19"/>
    <s v="Monroe"/>
    <n v="11338"/>
    <n v="331"/>
  </r>
  <r>
    <s v="KY"/>
    <x v="19"/>
    <s v="Montgomery"/>
    <n v="28114"/>
    <n v="199"/>
  </r>
  <r>
    <s v="KY"/>
    <x v="19"/>
    <s v="Morgan"/>
    <n v="13726"/>
    <n v="381"/>
  </r>
  <r>
    <s v="KY"/>
    <x v="19"/>
    <s v="Muhlenberg"/>
    <n v="30928"/>
    <n v="475"/>
  </r>
  <r>
    <s v="KY"/>
    <x v="19"/>
    <s v="Nelson"/>
    <n v="46738"/>
    <n v="423"/>
  </r>
  <r>
    <s v="KY"/>
    <x v="19"/>
    <s v="Nicholas"/>
    <n v="7537"/>
    <n v="197"/>
  </r>
  <r>
    <s v="KY"/>
    <x v="19"/>
    <s v="Ohio"/>
    <n v="23772"/>
    <n v="594"/>
  </r>
  <r>
    <s v="KY"/>
    <x v="19"/>
    <s v="Oldham"/>
    <n v="67607"/>
    <n v="189"/>
  </r>
  <r>
    <s v="KY"/>
    <x v="19"/>
    <s v="Owen"/>
    <n v="11278"/>
    <n v="352"/>
  </r>
  <r>
    <s v="KY"/>
    <x v="19"/>
    <s v="Owsley"/>
    <n v="4051"/>
    <n v="198"/>
  </r>
  <r>
    <s v="KY"/>
    <x v="19"/>
    <s v="Pendleton"/>
    <n v="14644"/>
    <n v="280"/>
  </r>
  <r>
    <s v="KY"/>
    <x v="19"/>
    <s v="Perry"/>
    <n v="28473"/>
    <n v="342"/>
  </r>
  <r>
    <s v="KY"/>
    <x v="19"/>
    <s v="Pike"/>
    <n v="58669"/>
    <n v="788"/>
  </r>
  <r>
    <s v="KY"/>
    <x v="19"/>
    <s v="Powell"/>
    <n v="13129"/>
    <n v="180"/>
  </r>
  <r>
    <s v="KY"/>
    <x v="19"/>
    <s v="Pulaski"/>
    <n v="65034"/>
    <n v="662"/>
  </r>
  <r>
    <s v="KY"/>
    <x v="19"/>
    <s v="Robertson"/>
    <n v="2193"/>
    <n v="100"/>
  </r>
  <r>
    <s v="KY"/>
    <x v="19"/>
    <s v="Rockcastle"/>
    <n v="16037"/>
    <n v="318"/>
  </r>
  <r>
    <s v="KY"/>
    <x v="19"/>
    <s v="Rowan"/>
    <n v="24662"/>
    <n v="281"/>
  </r>
  <r>
    <s v="KY"/>
    <x v="19"/>
    <s v="Russell"/>
    <n v="17991"/>
    <n v="254"/>
  </r>
  <r>
    <s v="KY"/>
    <x v="19"/>
    <s v="Scott"/>
    <n v="57155"/>
    <n v="285"/>
  </r>
  <r>
    <s v="KY"/>
    <x v="19"/>
    <s v="Shelby"/>
    <n v="48065"/>
    <n v="384"/>
  </r>
  <r>
    <s v="KY"/>
    <x v="19"/>
    <s v="Simpson"/>
    <n v="19594"/>
    <n v="236"/>
  </r>
  <r>
    <s v="KY"/>
    <x v="19"/>
    <s v="Spencer"/>
    <n v="19490"/>
    <n v="186"/>
  </r>
  <r>
    <s v="KY"/>
    <x v="19"/>
    <s v="Taylor"/>
    <n v="26023"/>
    <n v="270"/>
  </r>
  <r>
    <s v="KY"/>
    <x v="19"/>
    <s v="Todd"/>
    <n v="12243"/>
    <n v="376"/>
  </r>
  <r>
    <s v="KY"/>
    <x v="19"/>
    <s v="Trigg"/>
    <n v="14061"/>
    <n v="443"/>
  </r>
  <r>
    <s v="KY"/>
    <x v="19"/>
    <s v="Trimble"/>
    <n v="8474"/>
    <n v="149"/>
  </r>
  <r>
    <s v="KY"/>
    <x v="19"/>
    <s v="Union"/>
    <n v="13668"/>
    <n v="345"/>
  </r>
  <r>
    <s v="KY"/>
    <x v="19"/>
    <s v="Warren"/>
    <n v="134554"/>
    <n v="545"/>
  </r>
  <r>
    <s v="KY"/>
    <x v="19"/>
    <s v="Washington"/>
    <n v="12027"/>
    <n v="301"/>
  </r>
  <r>
    <s v="KY"/>
    <x v="19"/>
    <s v="Wayne"/>
    <n v="19555"/>
    <n v="459"/>
  </r>
  <r>
    <s v="KY"/>
    <x v="19"/>
    <s v="Webster"/>
    <n v="13017"/>
    <n v="335"/>
  </r>
  <r>
    <s v="KY"/>
    <x v="19"/>
    <s v="Whitley"/>
    <n v="36712"/>
    <n v="440"/>
  </r>
  <r>
    <s v="KY"/>
    <x v="19"/>
    <s v="Wolfe"/>
    <n v="6562"/>
    <n v="223"/>
  </r>
  <r>
    <s v="KY"/>
    <x v="19"/>
    <s v="Woodford"/>
    <n v="26871"/>
    <n v="191"/>
  </r>
  <r>
    <s v="LA"/>
    <x v="20"/>
    <s v="Acadia"/>
    <n v="57576"/>
    <n v="658"/>
  </r>
  <r>
    <s v="LA"/>
    <x v="20"/>
    <s v="Allen"/>
    <n v="22750"/>
    <n v="766"/>
  </r>
  <r>
    <s v="LA"/>
    <x v="20"/>
    <s v="Ascension"/>
    <n v="126500"/>
    <n v="303"/>
  </r>
  <r>
    <s v="LA"/>
    <x v="20"/>
    <s v="Assumption"/>
    <n v="21039"/>
    <n v="364"/>
  </r>
  <r>
    <s v="LA"/>
    <x v="20"/>
    <s v="Avoyelles"/>
    <n v="39693"/>
    <n v="866"/>
  </r>
  <r>
    <s v="LA"/>
    <x v="20"/>
    <s v="Beauregard"/>
    <n v="36549"/>
    <n v="1166"/>
  </r>
  <r>
    <s v="LA"/>
    <x v="20"/>
    <s v="Bienville"/>
    <n v="12981"/>
    <n v="822"/>
  </r>
  <r>
    <s v="LA"/>
    <x v="20"/>
    <s v="Bossier"/>
    <n v="128746"/>
    <n v="867"/>
  </r>
  <r>
    <s v="LA"/>
    <x v="20"/>
    <s v="Caddo"/>
    <n v="237848"/>
    <n v="937"/>
  </r>
  <r>
    <s v="LA"/>
    <x v="20"/>
    <s v="Calcasieu"/>
    <n v="216785"/>
    <n v="1094"/>
  </r>
  <r>
    <s v="LA"/>
    <x v="20"/>
    <s v="Caldwell"/>
    <n v="9645"/>
    <n v="541"/>
  </r>
  <r>
    <s v="LA"/>
    <x v="20"/>
    <s v="Cameron"/>
    <n v="5617"/>
    <n v="1932"/>
  </r>
  <r>
    <s v="LA"/>
    <x v="20"/>
    <s v="Catahoula"/>
    <n v="8906"/>
    <n v="739"/>
  </r>
  <r>
    <s v="LA"/>
    <x v="20"/>
    <s v="Claiborne"/>
    <n v="14170"/>
    <n v="768"/>
  </r>
  <r>
    <s v="LA"/>
    <x v="20"/>
    <s v="Concordia"/>
    <n v="18687"/>
    <n v="749"/>
  </r>
  <r>
    <s v="LA"/>
    <x v="20"/>
    <s v="De Soto"/>
    <n v="26812"/>
    <n v="895"/>
  </r>
  <r>
    <s v="LA"/>
    <x v="20"/>
    <s v="East Baton Rouge"/>
    <n v="456781"/>
    <n v="471"/>
  </r>
  <r>
    <s v="LA"/>
    <x v="20"/>
    <s v="East Carroll"/>
    <n v="7459"/>
    <n v="442"/>
  </r>
  <r>
    <s v="LA"/>
    <x v="20"/>
    <s v="East Feliciana"/>
    <n v="19539"/>
    <n v="456"/>
  </r>
  <r>
    <s v="LA"/>
    <x v="20"/>
    <s v="Evangeline"/>
    <n v="32350"/>
    <n v="680"/>
  </r>
  <r>
    <s v="LA"/>
    <x v="20"/>
    <s v="Franklin"/>
    <n v="19774"/>
    <n v="636"/>
  </r>
  <r>
    <s v="LA"/>
    <x v="20"/>
    <s v="Grant"/>
    <n v="22169"/>
    <n v="664"/>
  </r>
  <r>
    <s v="LA"/>
    <x v="20"/>
    <s v="Iberia"/>
    <n v="69929"/>
    <n v="1031"/>
  </r>
  <r>
    <s v="LA"/>
    <x v="20"/>
    <s v="Iberville"/>
    <n v="30241"/>
    <n v="653"/>
  </r>
  <r>
    <s v="LA"/>
    <x v="20"/>
    <s v="Jackson"/>
    <n v="15031"/>
    <n v="580"/>
  </r>
  <r>
    <s v="LA"/>
    <x v="20"/>
    <s v="Jefferson"/>
    <n v="440781"/>
    <n v="642"/>
  </r>
  <r>
    <s v="LA"/>
    <x v="20"/>
    <s v="Jefferson Davis"/>
    <n v="32250"/>
    <n v="659"/>
  </r>
  <r>
    <s v="LA"/>
    <x v="20"/>
    <s v="Lafayette"/>
    <n v="241753"/>
    <n v="270"/>
  </r>
  <r>
    <s v="LA"/>
    <x v="20"/>
    <s v="Lafourche"/>
    <n v="97557"/>
    <n v="1472"/>
  </r>
  <r>
    <s v="LA"/>
    <x v="20"/>
    <s v="LaSalle"/>
    <n v="14791"/>
    <n v="663"/>
  </r>
  <r>
    <s v="LA"/>
    <x v="20"/>
    <s v="Lincoln"/>
    <n v="48396"/>
    <n v="472"/>
  </r>
  <r>
    <s v="LA"/>
    <x v="20"/>
    <s v="Livingston"/>
    <n v="142282"/>
    <n v="703"/>
  </r>
  <r>
    <s v="LA"/>
    <x v="20"/>
    <s v="Madison"/>
    <n v="10017"/>
    <n v="651"/>
  </r>
  <r>
    <s v="LA"/>
    <x v="20"/>
    <s v="Morehouse"/>
    <n v="25629"/>
    <n v="805"/>
  </r>
  <r>
    <s v="LA"/>
    <x v="20"/>
    <s v="Natchitoches"/>
    <n v="37515"/>
    <n v="1299"/>
  </r>
  <r>
    <s v="LA"/>
    <x v="20"/>
    <s v="Orleans"/>
    <n v="383997"/>
    <n v="350"/>
  </r>
  <r>
    <s v="LA"/>
    <x v="20"/>
    <s v="Ouachita"/>
    <n v="160368"/>
    <n v="633"/>
  </r>
  <r>
    <s v="LA"/>
    <x v="20"/>
    <s v="Plaquemines"/>
    <n v="23515"/>
    <n v="2429"/>
  </r>
  <r>
    <s v="LA"/>
    <x v="20"/>
    <s v="Pointe Coupee"/>
    <n v="20758"/>
    <n v="591"/>
  </r>
  <r>
    <s v="LA"/>
    <x v="20"/>
    <s v="Rapides"/>
    <n v="130023"/>
    <n v="1362"/>
  </r>
  <r>
    <s v="LA"/>
    <x v="20"/>
    <s v="Red River"/>
    <n v="7620"/>
    <n v="402"/>
  </r>
  <r>
    <s v="LA"/>
    <x v="20"/>
    <s v="Richland"/>
    <n v="20043"/>
    <n v="564"/>
  </r>
  <r>
    <s v="LA"/>
    <x v="20"/>
    <s v="Sabine"/>
    <n v="22155"/>
    <n v="1012"/>
  </r>
  <r>
    <s v="LA"/>
    <x v="20"/>
    <s v="St. Bernard"/>
    <n v="43764"/>
    <n v="1794"/>
  </r>
  <r>
    <s v="LA"/>
    <x v="20"/>
    <s v="St. Charles"/>
    <n v="52549"/>
    <n v="410"/>
  </r>
  <r>
    <s v="LA"/>
    <x v="20"/>
    <s v="St. Helena"/>
    <n v="10920"/>
    <n v="409"/>
  </r>
  <r>
    <s v="LA"/>
    <x v="20"/>
    <s v="St. James"/>
    <n v="20192"/>
    <n v="258"/>
  </r>
  <r>
    <s v="LA"/>
    <x v="20"/>
    <s v="St. John the Baptist"/>
    <n v="42477"/>
    <n v="348"/>
  </r>
  <r>
    <s v="LA"/>
    <x v="20"/>
    <s v="St. Landry"/>
    <n v="82540"/>
    <n v="939"/>
  </r>
  <r>
    <s v="LA"/>
    <x v="20"/>
    <s v="St. Martin"/>
    <n v="51767"/>
    <n v="817"/>
  </r>
  <r>
    <s v="LA"/>
    <x v="20"/>
    <s v="St. Mary"/>
    <n v="49406"/>
    <n v="612"/>
  </r>
  <r>
    <s v="LA"/>
    <x v="20"/>
    <s v="St. Tammany"/>
    <n v="264570"/>
    <n v="1124"/>
  </r>
  <r>
    <s v="LA"/>
    <x v="20"/>
    <s v="Tangipahoa"/>
    <n v="133157"/>
    <n v="823"/>
  </r>
  <r>
    <s v="LA"/>
    <x v="20"/>
    <s v="Tensas"/>
    <n v="4147"/>
    <n v="641"/>
  </r>
  <r>
    <s v="LA"/>
    <x v="20"/>
    <s v="Terrebonne"/>
    <n v="109580"/>
    <n v="2080"/>
  </r>
  <r>
    <s v="LA"/>
    <x v="20"/>
    <s v="Union"/>
    <n v="21107"/>
    <n v="905"/>
  </r>
  <r>
    <s v="LA"/>
    <x v="20"/>
    <s v="Vermilion"/>
    <n v="57359"/>
    <n v="1538"/>
  </r>
  <r>
    <s v="LA"/>
    <x v="20"/>
    <s v="Vernon"/>
    <n v="48750"/>
    <n v="1341"/>
  </r>
  <r>
    <s v="LA"/>
    <x v="20"/>
    <s v="Washington"/>
    <n v="45463"/>
    <n v="676"/>
  </r>
  <r>
    <s v="LA"/>
    <x v="20"/>
    <s v="Webster"/>
    <n v="36967"/>
    <n v="615"/>
  </r>
  <r>
    <s v="LA"/>
    <x v="20"/>
    <s v="West Baton Rouge"/>
    <n v="27199"/>
    <n v="203"/>
  </r>
  <r>
    <s v="LA"/>
    <x v="20"/>
    <s v="West Carroll"/>
    <n v="9751"/>
    <n v="360"/>
  </r>
  <r>
    <s v="LA"/>
    <x v="20"/>
    <s v="West Feliciana"/>
    <n v="15310"/>
    <n v="426"/>
  </r>
  <r>
    <s v="LA"/>
    <x v="20"/>
    <s v="Winn"/>
    <n v="13755"/>
    <n v="957"/>
  </r>
  <r>
    <s v="ME"/>
    <x v="21"/>
    <s v="Androscoggin"/>
    <n v="111139"/>
    <n v="497"/>
  </r>
  <r>
    <s v="ME"/>
    <x v="21"/>
    <s v="Aroostook"/>
    <n v="67105"/>
    <n v="6829"/>
  </r>
  <r>
    <s v="ME"/>
    <x v="21"/>
    <s v="Cumberland"/>
    <n v="303069"/>
    <n v="1217"/>
  </r>
  <r>
    <s v="ME"/>
    <x v="21"/>
    <s v="Franklin"/>
    <n v="29456"/>
    <n v="1744"/>
  </r>
  <r>
    <s v="ME"/>
    <x v="21"/>
    <s v="Hancock"/>
    <n v="55478"/>
    <n v="2351"/>
  </r>
  <r>
    <s v="ME"/>
    <x v="21"/>
    <s v="Kennebec"/>
    <n v="123642"/>
    <n v="951"/>
  </r>
  <r>
    <s v="ME"/>
    <x v="21"/>
    <s v="Knox"/>
    <n v="40607"/>
    <n v="1142"/>
  </r>
  <r>
    <s v="ME"/>
    <x v="21"/>
    <s v="Lincoln"/>
    <n v="35237"/>
    <n v="700"/>
  </r>
  <r>
    <s v="ME"/>
    <x v="21"/>
    <s v="Oxford"/>
    <n v="57777"/>
    <n v="2175"/>
  </r>
  <r>
    <s v="ME"/>
    <x v="21"/>
    <s v="Penobscot"/>
    <n v="152199"/>
    <n v="3556"/>
  </r>
  <r>
    <s v="ME"/>
    <x v="21"/>
    <s v="Piscataquis"/>
    <n v="16800"/>
    <n v="4377"/>
  </r>
  <r>
    <s v="ME"/>
    <x v="21"/>
    <s v="Sagadahoc"/>
    <n v="36699"/>
    <n v="370"/>
  </r>
  <r>
    <s v="ME"/>
    <x v="21"/>
    <s v="Somerset"/>
    <n v="50477"/>
    <n v="4095"/>
  </r>
  <r>
    <s v="ME"/>
    <x v="21"/>
    <s v="Waldo"/>
    <n v="39607"/>
    <n v="853"/>
  </r>
  <r>
    <s v="ME"/>
    <x v="21"/>
    <s v="Washington"/>
    <n v="31095"/>
    <n v="3255"/>
  </r>
  <r>
    <s v="ME"/>
    <x v="21"/>
    <s v="York"/>
    <n v="211972"/>
    <n v="1271"/>
  </r>
  <r>
    <s v="MD"/>
    <x v="22"/>
    <s v="Allegany"/>
    <n v="68106"/>
    <n v="424"/>
  </r>
  <r>
    <s v="MD"/>
    <x v="22"/>
    <s v="Anne Arundel"/>
    <n v="588261"/>
    <n v="415"/>
  </r>
  <r>
    <s v="MD"/>
    <x v="22"/>
    <s v="Baltimore"/>
    <n v="854535"/>
    <n v="598"/>
  </r>
  <r>
    <s v="MD"/>
    <x v="22"/>
    <s v="Calvert"/>
    <n v="92783"/>
    <n v="213"/>
  </r>
  <r>
    <s v="MD"/>
    <x v="22"/>
    <s v="Caroline"/>
    <n v="33293"/>
    <n v="319"/>
  </r>
  <r>
    <s v="MD"/>
    <x v="22"/>
    <s v="Carroll"/>
    <n v="172891"/>
    <n v="448"/>
  </r>
  <r>
    <s v="MD"/>
    <x v="22"/>
    <s v="Cecil"/>
    <n v="103725"/>
    <n v="418"/>
  </r>
  <r>
    <s v="MD"/>
    <x v="22"/>
    <s v="Charles"/>
    <n v="166617"/>
    <n v="458"/>
  </r>
  <r>
    <s v="MD"/>
    <x v="22"/>
    <s v="Dorchester"/>
    <n v="32531"/>
    <n v="541"/>
  </r>
  <r>
    <s v="MD"/>
    <x v="22"/>
    <s v="Frederick"/>
    <n v="271717"/>
    <n v="660"/>
  </r>
  <r>
    <s v="MD"/>
    <x v="22"/>
    <s v="Garrett"/>
    <n v="28806"/>
    <n v="667"/>
  </r>
  <r>
    <s v="MD"/>
    <x v="22"/>
    <s v="Harford"/>
    <n v="260924"/>
    <n v="437"/>
  </r>
  <r>
    <s v="MD"/>
    <x v="22"/>
    <s v="Howard"/>
    <n v="332317"/>
    <n v="251"/>
  </r>
  <r>
    <s v="MD"/>
    <x v="22"/>
    <s v="Kent"/>
    <n v="19198"/>
    <n v="277"/>
  </r>
  <r>
    <s v="MD"/>
    <x v="22"/>
    <s v="Montgomery"/>
    <n v="1062061"/>
    <n v="493"/>
  </r>
  <r>
    <s v="MD"/>
    <x v="22"/>
    <s v="Prince George's"/>
    <n v="967201"/>
    <n v="483"/>
  </r>
  <r>
    <s v="MD"/>
    <x v="22"/>
    <s v="Queen Anne's"/>
    <n v="49874"/>
    <n v="372"/>
  </r>
  <r>
    <s v="MD"/>
    <x v="22"/>
    <s v="St. Mary's"/>
    <n v="113777"/>
    <n v="357"/>
  </r>
  <r>
    <s v="MD"/>
    <x v="22"/>
    <s v="Somerset"/>
    <n v="24620"/>
    <n v="611"/>
  </r>
  <r>
    <s v="MD"/>
    <x v="22"/>
    <s v="Talbot"/>
    <n v="37526"/>
    <n v="267"/>
  </r>
  <r>
    <s v="MD"/>
    <x v="22"/>
    <s v="Washington"/>
    <n v="154705"/>
    <n v="458"/>
  </r>
  <r>
    <s v="MD"/>
    <x v="22"/>
    <s v="Wicomico"/>
    <n v="103588"/>
    <n v="374"/>
  </r>
  <r>
    <s v="MD"/>
    <x v="22"/>
    <s v="Worcester"/>
    <n v="52460"/>
    <n v="468"/>
  </r>
  <r>
    <s v="MD"/>
    <x v="22"/>
    <s v="Baltimore City"/>
    <n v="585708"/>
    <n v="80"/>
  </r>
  <r>
    <s v="MA"/>
    <x v="23"/>
    <s v="Barnstable"/>
    <n v="228996"/>
    <n v="396"/>
  </r>
  <r>
    <s v="MA"/>
    <x v="23"/>
    <s v="Berkshire"/>
    <n v="129026"/>
    <n v="931"/>
  </r>
  <r>
    <s v="MA"/>
    <x v="23"/>
    <s v="Bristol"/>
    <n v="579200"/>
    <n v="556"/>
  </r>
  <r>
    <s v="MA"/>
    <x v="23"/>
    <s v="Dukes"/>
    <n v="20600"/>
    <n v="104"/>
  </r>
  <r>
    <s v="MA"/>
    <x v="23"/>
    <s v="Essex"/>
    <n v="809829"/>
    <n v="498"/>
  </r>
  <r>
    <s v="MA"/>
    <x v="23"/>
    <s v="Franklin"/>
    <n v="71029"/>
    <n v="702"/>
  </r>
  <r>
    <s v="MA"/>
    <x v="23"/>
    <s v="Hampden"/>
    <n v="465825"/>
    <n v="618"/>
  </r>
  <r>
    <s v="MA"/>
    <x v="23"/>
    <s v="Hampshire"/>
    <n v="162308"/>
    <n v="529"/>
  </r>
  <r>
    <s v="MA"/>
    <x v="23"/>
    <s v="Middlesex"/>
    <n v="1632002"/>
    <n v="824"/>
  </r>
  <r>
    <s v="MA"/>
    <x v="23"/>
    <s v="Nantucket"/>
    <n v="14255"/>
    <n v="48"/>
  </r>
  <r>
    <s v="MA"/>
    <x v="23"/>
    <s v="Norfolk"/>
    <n v="725981"/>
    <n v="400"/>
  </r>
  <r>
    <s v="MA"/>
    <x v="23"/>
    <s v="Plymouth"/>
    <n v="530819"/>
    <n v="661"/>
  </r>
  <r>
    <s v="MA"/>
    <x v="23"/>
    <s v="Suffolk"/>
    <n v="797936"/>
    <n v="58"/>
  </r>
  <r>
    <s v="MA"/>
    <x v="23"/>
    <s v="Worcester"/>
    <n v="862111"/>
    <n v="1513"/>
  </r>
  <r>
    <s v="MI"/>
    <x v="24"/>
    <s v="Alcona"/>
    <n v="10167"/>
    <n v="1791"/>
  </r>
  <r>
    <s v="MI"/>
    <x v="24"/>
    <s v="Alger"/>
    <n v="8842"/>
    <n v="5049"/>
  </r>
  <r>
    <s v="MI"/>
    <x v="24"/>
    <s v="Allegan"/>
    <n v="120502"/>
    <n v="1833"/>
  </r>
  <r>
    <s v="MI"/>
    <x v="24"/>
    <s v="Alpena"/>
    <n v="28907"/>
    <n v="1695"/>
  </r>
  <r>
    <s v="MI"/>
    <x v="24"/>
    <s v="Antrim"/>
    <n v="23431"/>
    <n v="602"/>
  </r>
  <r>
    <s v="MI"/>
    <x v="24"/>
    <s v="Arenac"/>
    <n v="15002"/>
    <n v="681"/>
  </r>
  <r>
    <s v="MI"/>
    <x v="24"/>
    <s v="Baraga"/>
    <n v="8158"/>
    <n v="1069"/>
  </r>
  <r>
    <s v="MI"/>
    <x v="24"/>
    <s v="Barry"/>
    <n v="62423"/>
    <n v="577"/>
  </r>
  <r>
    <s v="MI"/>
    <x v="24"/>
    <s v="Bay"/>
    <n v="103856"/>
    <n v="631"/>
  </r>
  <r>
    <s v="MI"/>
    <x v="24"/>
    <s v="Benzie"/>
    <n v="17970"/>
    <n v="860"/>
  </r>
  <r>
    <s v="MI"/>
    <x v="24"/>
    <s v="Berrien"/>
    <n v="154316"/>
    <n v="1581"/>
  </r>
  <r>
    <s v="MI"/>
    <x v="24"/>
    <s v="Branch"/>
    <n v="44862"/>
    <n v="519"/>
  </r>
  <r>
    <s v="MI"/>
    <x v="24"/>
    <s v="Calhoun"/>
    <n v="134310"/>
    <n v="718"/>
  </r>
  <r>
    <s v="MI"/>
    <x v="24"/>
    <s v="Cass"/>
    <n v="51589"/>
    <n v="508"/>
  </r>
  <r>
    <s v="MI"/>
    <x v="24"/>
    <s v="Charlevoix"/>
    <n v="26054"/>
    <n v="1391"/>
  </r>
  <r>
    <s v="MI"/>
    <x v="24"/>
    <s v="Cheboygan"/>
    <n v="25579"/>
    <n v="885"/>
  </r>
  <r>
    <s v="MI"/>
    <x v="24"/>
    <s v="Chippewa"/>
    <n v="36785"/>
    <n v="2698"/>
  </r>
  <r>
    <s v="MI"/>
    <x v="24"/>
    <s v="Clare"/>
    <n v="30856"/>
    <n v="885"/>
  </r>
  <r>
    <s v="MI"/>
    <x v="24"/>
    <s v="Clinton"/>
    <n v="79128"/>
    <n v="575"/>
  </r>
  <r>
    <s v="MI"/>
    <x v="24"/>
    <s v="Crawford"/>
    <n v="12988"/>
    <n v="563"/>
  </r>
  <r>
    <s v="MI"/>
    <x v="24"/>
    <s v="Delta"/>
    <n v="36903"/>
    <n v="1992"/>
  </r>
  <r>
    <s v="MI"/>
    <x v="24"/>
    <s v="Dickinson"/>
    <n v="25947"/>
    <n v="777"/>
  </r>
  <r>
    <s v="MI"/>
    <x v="24"/>
    <s v="Eaton"/>
    <n v="109175"/>
    <n v="579"/>
  </r>
  <r>
    <s v="MI"/>
    <x v="24"/>
    <s v="Emmet"/>
    <n v="34112"/>
    <n v="882"/>
  </r>
  <r>
    <s v="MI"/>
    <x v="24"/>
    <s v="Genesee"/>
    <n v="406211"/>
    <n v="649"/>
  </r>
  <r>
    <s v="MI"/>
    <x v="24"/>
    <s v="Gladwin"/>
    <n v="25386"/>
    <n v="516"/>
  </r>
  <r>
    <s v="MI"/>
    <x v="24"/>
    <s v="Gogebic"/>
    <n v="14380"/>
    <n v="1476"/>
  </r>
  <r>
    <s v="MI"/>
    <x v="24"/>
    <s v="Grand Traverse"/>
    <n v="95238"/>
    <n v="601"/>
  </r>
  <r>
    <s v="MI"/>
    <x v="24"/>
    <s v="Gratiot"/>
    <n v="41761"/>
    <n v="572"/>
  </r>
  <r>
    <s v="MI"/>
    <x v="24"/>
    <s v="Hillsdale"/>
    <n v="45746"/>
    <n v="607"/>
  </r>
  <r>
    <s v="MI"/>
    <x v="24"/>
    <s v="Houghton"/>
    <n v="37361"/>
    <n v="1502"/>
  </r>
  <r>
    <s v="MI"/>
    <x v="24"/>
    <s v="Huron"/>
    <n v="31407"/>
    <n v="2136"/>
  </r>
  <r>
    <s v="MI"/>
    <x v="24"/>
    <s v="Ingham"/>
    <n v="284900"/>
    <n v="561"/>
  </r>
  <r>
    <s v="MI"/>
    <x v="24"/>
    <s v="Ionia"/>
    <n v="66804"/>
    <n v="580"/>
  </r>
  <r>
    <s v="MI"/>
    <x v="24"/>
    <s v="Iosco"/>
    <n v="25237"/>
    <n v="1891"/>
  </r>
  <r>
    <s v="MI"/>
    <x v="24"/>
    <s v="Iron"/>
    <n v="11631"/>
    <n v="1211"/>
  </r>
  <r>
    <s v="MI"/>
    <x v="24"/>
    <s v="Isabella"/>
    <n v="64394"/>
    <n v="578"/>
  </r>
  <r>
    <s v="MI"/>
    <x v="24"/>
    <s v="Jackson"/>
    <n v="160366"/>
    <n v="724"/>
  </r>
  <r>
    <s v="MI"/>
    <x v="24"/>
    <s v="Kalamazoo"/>
    <n v="261670"/>
    <n v="580"/>
  </r>
  <r>
    <s v="MI"/>
    <x v="24"/>
    <s v="Kalkaska"/>
    <n v="17939"/>
    <n v="571"/>
  </r>
  <r>
    <s v="MI"/>
    <x v="24"/>
    <s v="Kent"/>
    <n v="657974"/>
    <n v="872"/>
  </r>
  <r>
    <s v="MI"/>
    <x v="24"/>
    <s v="Keweenaw"/>
    <n v="2046"/>
    <n v="5966"/>
  </r>
  <r>
    <s v="MI"/>
    <x v="24"/>
    <s v="Lake"/>
    <n v="12096"/>
    <n v="575"/>
  </r>
  <r>
    <s v="MI"/>
    <x v="24"/>
    <s v="Lapeer"/>
    <n v="88619"/>
    <n v="663"/>
  </r>
  <r>
    <s v="MI"/>
    <x v="24"/>
    <s v="Leelanau"/>
    <n v="22301"/>
    <n v="2532"/>
  </r>
  <r>
    <s v="MI"/>
    <x v="24"/>
    <s v="Lenawee"/>
    <n v="99423"/>
    <n v="761"/>
  </r>
  <r>
    <s v="MI"/>
    <x v="24"/>
    <s v="Livingston"/>
    <n v="193866"/>
    <n v="585"/>
  </r>
  <r>
    <s v="MI"/>
    <x v="24"/>
    <s v="Luce"/>
    <n v="5339"/>
    <n v="1912"/>
  </r>
  <r>
    <s v="MI"/>
    <x v="24"/>
    <s v="Mackinac"/>
    <n v="10834"/>
    <n v="2101"/>
  </r>
  <r>
    <s v="MI"/>
    <x v="24"/>
    <s v="Macomb"/>
    <n v="881217"/>
    <n v="570"/>
  </r>
  <r>
    <s v="MI"/>
    <x v="24"/>
    <s v="Manistee"/>
    <n v="25032"/>
    <n v="1281"/>
  </r>
  <r>
    <s v="MI"/>
    <x v="24"/>
    <s v="Marquette"/>
    <n v="66017"/>
    <n v="3425"/>
  </r>
  <r>
    <s v="MI"/>
    <x v="24"/>
    <s v="Mason"/>
    <n v="29052"/>
    <n v="1242"/>
  </r>
  <r>
    <s v="MI"/>
    <x v="24"/>
    <s v="Mecosta"/>
    <n v="39714"/>
    <n v="571"/>
  </r>
  <r>
    <s v="MI"/>
    <x v="24"/>
    <s v="Menominee"/>
    <n v="23502"/>
    <n v="1338"/>
  </r>
  <r>
    <s v="MI"/>
    <x v="24"/>
    <s v="Midland"/>
    <n v="83494"/>
    <n v="528"/>
  </r>
  <r>
    <s v="MI"/>
    <x v="24"/>
    <s v="Missaukee"/>
    <n v="15052"/>
    <n v="574"/>
  </r>
  <r>
    <s v="MI"/>
    <x v="24"/>
    <s v="Monroe"/>
    <n v="154809"/>
    <n v="680"/>
  </r>
  <r>
    <s v="MI"/>
    <x v="24"/>
    <s v="Montcalm"/>
    <n v="66614"/>
    <n v="721"/>
  </r>
  <r>
    <s v="MI"/>
    <x v="24"/>
    <s v="Montmorency"/>
    <n v="9153"/>
    <n v="562"/>
  </r>
  <r>
    <s v="MI"/>
    <x v="24"/>
    <s v="Muskegon"/>
    <n v="175824"/>
    <n v="1459"/>
  </r>
  <r>
    <s v="MI"/>
    <x v="24"/>
    <s v="Newaygo"/>
    <n v="49978"/>
    <n v="861"/>
  </r>
  <r>
    <s v="MI"/>
    <x v="24"/>
    <s v="Oakland"/>
    <n v="1274395"/>
    <n v="908"/>
  </r>
  <r>
    <s v="MI"/>
    <x v="24"/>
    <s v="Oceana"/>
    <n v="26659"/>
    <n v="1307"/>
  </r>
  <r>
    <s v="MI"/>
    <x v="24"/>
    <s v="Ogemaw"/>
    <n v="20770"/>
    <n v="575"/>
  </r>
  <r>
    <s v="MI"/>
    <x v="24"/>
    <s v="Ontonagon"/>
    <n v="5816"/>
    <n v="3741"/>
  </r>
  <r>
    <s v="MI"/>
    <x v="24"/>
    <s v="Osceola"/>
    <n v="22891"/>
    <n v="573"/>
  </r>
  <r>
    <s v="MI"/>
    <x v="24"/>
    <s v="Oscoda"/>
    <n v="8219"/>
    <n v="572"/>
  </r>
  <r>
    <s v="MI"/>
    <x v="24"/>
    <s v="Otsego"/>
    <n v="25091"/>
    <n v="526"/>
  </r>
  <r>
    <s v="MI"/>
    <x v="24"/>
    <s v="Ottawa"/>
    <n v="296200"/>
    <n v="1632"/>
  </r>
  <r>
    <s v="MI"/>
    <x v="24"/>
    <s v="Presque Isle"/>
    <n v="12982"/>
    <n v="2573"/>
  </r>
  <r>
    <s v="MI"/>
    <x v="24"/>
    <s v="Roscommon"/>
    <n v="23459"/>
    <n v="580"/>
  </r>
  <r>
    <s v="MI"/>
    <x v="24"/>
    <s v="Saginaw"/>
    <n v="190124"/>
    <n v="816"/>
  </r>
  <r>
    <s v="MI"/>
    <x v="24"/>
    <s v="St. Clair"/>
    <n v="160383"/>
    <n v="837"/>
  </r>
  <r>
    <s v="MI"/>
    <x v="24"/>
    <s v="St. Joseph"/>
    <n v="60939"/>
    <n v="521"/>
  </r>
  <r>
    <s v="MI"/>
    <x v="24"/>
    <s v="Sanilac"/>
    <n v="40611"/>
    <n v="1590"/>
  </r>
  <r>
    <s v="MI"/>
    <x v="24"/>
    <s v="Schoolcraft"/>
    <n v="8047"/>
    <n v="1884"/>
  </r>
  <r>
    <s v="MI"/>
    <x v="24"/>
    <s v="Shiawassee"/>
    <n v="68094"/>
    <n v="541"/>
  </r>
  <r>
    <s v="MI"/>
    <x v="24"/>
    <s v="Tuscola"/>
    <n v="53323"/>
    <n v="914"/>
  </r>
  <r>
    <s v="MI"/>
    <x v="24"/>
    <s v="Van Buren"/>
    <n v="75587"/>
    <n v="1090"/>
  </r>
  <r>
    <s v="MI"/>
    <x v="24"/>
    <s v="Washtenaw"/>
    <n v="372258"/>
    <n v="723"/>
  </r>
  <r>
    <s v="MI"/>
    <x v="24"/>
    <s v="Wayne"/>
    <n v="1793561"/>
    <n v="672"/>
  </r>
  <r>
    <s v="MI"/>
    <x v="24"/>
    <s v="Wexford"/>
    <n v="33673"/>
    <n v="576"/>
  </r>
  <r>
    <s v="MN"/>
    <x v="25"/>
    <s v="Aitkin"/>
    <n v="15697"/>
    <n v="1819.3"/>
  </r>
  <r>
    <s v="MN"/>
    <x v="25"/>
    <s v="Anoka"/>
    <n v="363887"/>
    <n v="423.61"/>
  </r>
  <r>
    <s v="MN"/>
    <x v="25"/>
    <s v="Becker"/>
    <n v="35183"/>
    <n v="1310.42"/>
  </r>
  <r>
    <s v="MN"/>
    <x v="25"/>
    <s v="Beltrami"/>
    <n v="46228"/>
    <n v="2505.27"/>
  </r>
  <r>
    <s v="MN"/>
    <x v="25"/>
    <s v="Benton"/>
    <n v="41379"/>
    <n v="408.28"/>
  </r>
  <r>
    <s v="MN"/>
    <x v="25"/>
    <s v="Big Stone"/>
    <n v="5166"/>
    <n v="496.95"/>
  </r>
  <r>
    <s v="MN"/>
    <x v="25"/>
    <s v="Blue Earth"/>
    <n v="69112"/>
    <n v="752.36"/>
  </r>
  <r>
    <s v="MN"/>
    <x v="25"/>
    <s v="Brown"/>
    <n v="25912"/>
    <n v="610.86"/>
  </r>
  <r>
    <s v="MN"/>
    <x v="25"/>
    <s v="Carlton"/>
    <n v="36207"/>
    <n v="860.33"/>
  </r>
  <r>
    <s v="MN"/>
    <x v="25"/>
    <s v="Carver"/>
    <n v="106922"/>
    <n v="357.04"/>
  </r>
  <r>
    <s v="MN"/>
    <x v="25"/>
    <s v="Cass"/>
    <n v="30066"/>
    <n v="2017.6"/>
  </r>
  <r>
    <s v="MN"/>
    <x v="25"/>
    <s v="Chippewa"/>
    <n v="12598"/>
    <n v="582.79999999999995"/>
  </r>
  <r>
    <s v="MN"/>
    <x v="25"/>
    <s v="Chisago"/>
    <n v="56621"/>
    <n v="417.63"/>
  </r>
  <r>
    <s v="MN"/>
    <x v="25"/>
    <s v="Clay"/>
    <n v="65318"/>
    <n v="1045.24"/>
  </r>
  <r>
    <s v="MN"/>
    <x v="25"/>
    <s v="Clearwater"/>
    <n v="8524"/>
    <n v="994.71"/>
  </r>
  <r>
    <s v="MN"/>
    <x v="25"/>
    <s v="Cook"/>
    <n v="5600"/>
    <n v="1450.6"/>
  </r>
  <r>
    <s v="MN"/>
    <x v="25"/>
    <s v="Cottonwood"/>
    <n v="11517"/>
    <n v="639.99"/>
  </r>
  <r>
    <s v="MN"/>
    <x v="25"/>
    <s v="Crow Wing"/>
    <n v="66123"/>
    <n v="996.57"/>
  </r>
  <r>
    <s v="MN"/>
    <x v="25"/>
    <s v="Dakota"/>
    <n v="439882"/>
    <n v="569.58000000000004"/>
  </r>
  <r>
    <s v="MN"/>
    <x v="25"/>
    <s v="Dodge"/>
    <n v="20867"/>
    <n v="439.5"/>
  </r>
  <r>
    <s v="MN"/>
    <x v="25"/>
    <s v="Douglas"/>
    <n v="39006"/>
    <n v="634.32000000000005"/>
  </r>
  <r>
    <s v="MN"/>
    <x v="25"/>
    <s v="Faribault"/>
    <n v="13921"/>
    <n v="713.63"/>
  </r>
  <r>
    <s v="MN"/>
    <x v="25"/>
    <s v="Fillmore"/>
    <n v="21228"/>
    <n v="861.25"/>
  </r>
  <r>
    <s v="MN"/>
    <x v="25"/>
    <s v="Freeborn"/>
    <n v="30895"/>
    <n v="707.64"/>
  </r>
  <r>
    <s v="MN"/>
    <x v="25"/>
    <s v="Goodhue"/>
    <n v="47582"/>
    <n v="758.27"/>
  </r>
  <r>
    <s v="MN"/>
    <x v="25"/>
    <s v="Grant"/>
    <n v="6074"/>
    <n v="546.41"/>
  </r>
  <r>
    <s v="MN"/>
    <x v="25"/>
    <s v="Hennepin"/>
    <n v="1281565"/>
    <n v="556.62"/>
  </r>
  <r>
    <s v="MN"/>
    <x v="25"/>
    <s v="Houston"/>
    <n v="18843"/>
    <n v="558.41"/>
  </r>
  <r>
    <s v="MN"/>
    <x v="25"/>
    <s v="Hubbard"/>
    <n v="21344"/>
    <n v="922.46"/>
  </r>
  <r>
    <s v="MN"/>
    <x v="25"/>
    <s v="Isanti"/>
    <n v="41135"/>
    <n v="439.07"/>
  </r>
  <r>
    <s v="MN"/>
    <x v="25"/>
    <s v="Itasca"/>
    <n v="45014"/>
    <n v="2665.06"/>
  </r>
  <r>
    <s v="MN"/>
    <x v="25"/>
    <s v="Jackson"/>
    <n v="9989"/>
    <n v="701.69"/>
  </r>
  <r>
    <s v="MN"/>
    <x v="25"/>
    <s v="Kanabec"/>
    <n v="16032"/>
    <n v="524.92999999999995"/>
  </r>
  <r>
    <s v="MN"/>
    <x v="25"/>
    <s v="Kandiyohi"/>
    <n v="43732"/>
    <n v="796.06"/>
  </r>
  <r>
    <s v="MN"/>
    <x v="25"/>
    <s v="Kittson"/>
    <n v="4207"/>
    <n v="1097.08"/>
  </r>
  <r>
    <s v="MN"/>
    <x v="25"/>
    <s v="Koochiching"/>
    <n v="12062"/>
    <n v="3102.36"/>
  </r>
  <r>
    <s v="MN"/>
    <x v="25"/>
    <s v="Lac qui Parle"/>
    <n v="6719"/>
    <n v="764.87"/>
  </r>
  <r>
    <s v="MN"/>
    <x v="25"/>
    <s v="Lake"/>
    <n v="10905"/>
    <n v="2099.16"/>
  </r>
  <r>
    <s v="MN"/>
    <x v="25"/>
    <s v="Lake of the Woods"/>
    <n v="3763"/>
    <n v="1296.7"/>
  </r>
  <r>
    <s v="MN"/>
    <x v="25"/>
    <s v="Le Sueur"/>
    <n v="28674"/>
    <n v="448.5"/>
  </r>
  <r>
    <s v="MN"/>
    <x v="25"/>
    <s v="Lincoln"/>
    <n v="5640"/>
    <n v="537.03"/>
  </r>
  <r>
    <s v="MN"/>
    <x v="25"/>
    <s v="Lyon"/>
    <n v="25269"/>
    <n v="714.17"/>
  </r>
  <r>
    <s v="MN"/>
    <x v="25"/>
    <s v="Mahnomen"/>
    <n v="5411"/>
    <n v="556.14"/>
  </r>
  <r>
    <s v="MN"/>
    <x v="25"/>
    <s v="Marshall"/>
    <n v="9040"/>
    <n v="1772.24"/>
  </r>
  <r>
    <s v="MN"/>
    <x v="25"/>
    <s v="Martin"/>
    <n v="20025"/>
    <n v="709.34"/>
  </r>
  <r>
    <s v="MN"/>
    <x v="25"/>
    <s v="McLeod"/>
    <n v="36771"/>
    <n v="491.91"/>
  </r>
  <r>
    <s v="MN"/>
    <x v="25"/>
    <s v="Meeker"/>
    <n v="23400"/>
    <n v="608.54"/>
  </r>
  <r>
    <s v="MN"/>
    <x v="25"/>
    <s v="Mille Lacs"/>
    <n v="26459"/>
    <n v="574.47"/>
  </r>
  <r>
    <s v="MN"/>
    <x v="25"/>
    <s v="Morrison"/>
    <n v="34010"/>
    <n v="1124.5"/>
  </r>
  <r>
    <s v="MN"/>
    <x v="25"/>
    <s v="Mower"/>
    <n v="40029"/>
    <n v="711.5"/>
  </r>
  <r>
    <s v="MN"/>
    <x v="25"/>
    <s v="Murray"/>
    <n v="8179"/>
    <n v="704.43"/>
  </r>
  <r>
    <s v="MN"/>
    <x v="25"/>
    <s v="Nicollet"/>
    <n v="34454"/>
    <n v="452.29"/>
  </r>
  <r>
    <s v="MN"/>
    <x v="25"/>
    <s v="Nobles"/>
    <n v="22290"/>
    <n v="715.39"/>
  </r>
  <r>
    <s v="MN"/>
    <x v="25"/>
    <s v="Norman"/>
    <n v="6441"/>
    <n v="876.27"/>
  </r>
  <r>
    <s v="MN"/>
    <x v="25"/>
    <s v="Olmsted"/>
    <n v="162847"/>
    <n v="653.01"/>
  </r>
  <r>
    <s v="MN"/>
    <x v="25"/>
    <s v="Otter Tail"/>
    <n v="60081"/>
    <n v="1979.71"/>
  </r>
  <r>
    <s v="MN"/>
    <x v="25"/>
    <s v="Pennington"/>
    <n v="13992"/>
    <n v="616.54"/>
  </r>
  <r>
    <s v="MN"/>
    <x v="25"/>
    <s v="Pine"/>
    <n v="28876"/>
    <n v="1411.04"/>
  </r>
  <r>
    <s v="MN"/>
    <x v="25"/>
    <s v="Pipestone"/>
    <n v="9424"/>
    <n v="465.89"/>
  </r>
  <r>
    <s v="MN"/>
    <x v="25"/>
    <s v="Polk"/>
    <n v="31192"/>
    <n v="1970.37"/>
  </r>
  <r>
    <s v="MN"/>
    <x v="25"/>
    <s v="Pope"/>
    <n v="11308"/>
    <n v="670.14"/>
  </r>
  <r>
    <s v="MN"/>
    <x v="25"/>
    <s v="Ramsey"/>
    <n v="552352"/>
    <n v="155.78"/>
  </r>
  <r>
    <s v="MN"/>
    <x v="25"/>
    <s v="Red Lake"/>
    <n v="3935"/>
    <n v="432.43"/>
  </r>
  <r>
    <s v="MN"/>
    <x v="25"/>
    <s v="Redwood"/>
    <n v="15425"/>
    <n v="879.73"/>
  </r>
  <r>
    <s v="MN"/>
    <x v="25"/>
    <s v="Renville"/>
    <n v="14723"/>
    <n v="982.92"/>
  </r>
  <r>
    <s v="MN"/>
    <x v="25"/>
    <s v="Rice"/>
    <n v="67097"/>
    <n v="497.57"/>
  </r>
  <r>
    <s v="MN"/>
    <x v="25"/>
    <s v="Rock"/>
    <n v="9704"/>
    <n v="482.61"/>
  </r>
  <r>
    <s v="MN"/>
    <x v="25"/>
    <s v="Roseau"/>
    <n v="15331"/>
    <n v="1662.51"/>
  </r>
  <r>
    <s v="MN"/>
    <x v="25"/>
    <s v="St. Louis"/>
    <n v="200231"/>
    <n v="6225.16"/>
  </r>
  <r>
    <s v="MN"/>
    <x v="25"/>
    <s v="Scott"/>
    <n v="150928"/>
    <n v="356.68"/>
  </r>
  <r>
    <s v="MN"/>
    <x v="25"/>
    <s v="Sherburne"/>
    <n v="97183"/>
    <n v="436.3"/>
  </r>
  <r>
    <s v="MN"/>
    <x v="25"/>
    <s v="Sibley"/>
    <n v="14836"/>
    <n v="588.65"/>
  </r>
  <r>
    <s v="MN"/>
    <x v="25"/>
    <s v="Stearns"/>
    <n v="158292"/>
    <n v="1344.52"/>
  </r>
  <r>
    <s v="MN"/>
    <x v="25"/>
    <s v="Steele"/>
    <n v="37406"/>
    <n v="429.55"/>
  </r>
  <r>
    <s v="MN"/>
    <x v="25"/>
    <s v="Stevens"/>
    <n v="9671"/>
    <n v="562.05999999999995"/>
  </r>
  <r>
    <s v="MN"/>
    <x v="25"/>
    <s v="Swift"/>
    <n v="9838"/>
    <n v="743.53"/>
  </r>
  <r>
    <s v="MN"/>
    <x v="25"/>
    <s v="Todd"/>
    <n v="25262"/>
    <n v="942.02"/>
  </r>
  <r>
    <s v="MN"/>
    <x v="25"/>
    <s v="Traverse"/>
    <n v="3360"/>
    <n v="574.09"/>
  </r>
  <r>
    <s v="MN"/>
    <x v="25"/>
    <s v="Wabasha"/>
    <n v="21387"/>
    <n v="525.01"/>
  </r>
  <r>
    <s v="MN"/>
    <x v="25"/>
    <s v="Wadena"/>
    <n v="14065"/>
    <n v="535.02"/>
  </r>
  <r>
    <s v="MN"/>
    <x v="25"/>
    <s v="Waseca"/>
    <n v="18968"/>
    <n v="432.25"/>
  </r>
  <r>
    <s v="MN"/>
    <x v="25"/>
    <s v="Washington"/>
    <n v="267568"/>
    <n v="391.7"/>
  </r>
  <r>
    <s v="MN"/>
    <x v="25"/>
    <s v="Watonwan"/>
    <n v="11253"/>
    <n v="434.51"/>
  </r>
  <r>
    <s v="MN"/>
    <x v="25"/>
    <s v="Wilkin"/>
    <n v="6506"/>
    <n v="751.43"/>
  </r>
  <r>
    <s v="MN"/>
    <x v="25"/>
    <s v="Winona"/>
    <n v="49671"/>
    <n v="626.29999999999995"/>
  </r>
  <r>
    <s v="MN"/>
    <x v="25"/>
    <s v="Wright"/>
    <n v="141337"/>
    <n v="660.5"/>
  </r>
  <r>
    <s v="MN"/>
    <x v="25"/>
    <s v="Yellow Medicine"/>
    <n v="9528"/>
    <n v="757.96"/>
  </r>
  <r>
    <s v="MS"/>
    <x v="26"/>
    <s v="Adams"/>
    <n v="29538"/>
    <n v="460"/>
  </r>
  <r>
    <s v="MS"/>
    <x v="26"/>
    <s v="Alcorn"/>
    <n v="34740"/>
    <n v="400"/>
  </r>
  <r>
    <s v="MS"/>
    <x v="26"/>
    <s v="Amite"/>
    <n v="12720"/>
    <n v="730"/>
  </r>
  <r>
    <s v="MS"/>
    <x v="26"/>
    <s v="Attala"/>
    <n v="17889"/>
    <n v="735"/>
  </r>
  <r>
    <s v="MS"/>
    <x v="26"/>
    <s v="Benton"/>
    <n v="7646"/>
    <n v="407"/>
  </r>
  <r>
    <s v="MS"/>
    <x v="26"/>
    <s v="Bolivar"/>
    <n v="30985"/>
    <n v="876"/>
  </r>
  <r>
    <s v="MS"/>
    <x v="26"/>
    <s v="Calhoun"/>
    <n v="13266"/>
    <n v="587"/>
  </r>
  <r>
    <s v="MS"/>
    <x v="26"/>
    <s v="Carroll"/>
    <n v="9998"/>
    <n v="628"/>
  </r>
  <r>
    <s v="MS"/>
    <x v="26"/>
    <s v="Chickasaw"/>
    <n v="17106"/>
    <n v="502"/>
  </r>
  <r>
    <s v="MS"/>
    <x v="26"/>
    <s v="Choctaw"/>
    <n v="8246"/>
    <n v="419"/>
  </r>
  <r>
    <s v="MS"/>
    <x v="26"/>
    <s v="Claiborne"/>
    <n v="9135"/>
    <n v="487"/>
  </r>
  <r>
    <s v="MS"/>
    <x v="26"/>
    <s v="Clarke"/>
    <n v="15615"/>
    <n v="691"/>
  </r>
  <r>
    <s v="MS"/>
    <x v="26"/>
    <s v="Clay"/>
    <n v="18636"/>
    <n v="409"/>
  </r>
  <r>
    <s v="MS"/>
    <x v="26"/>
    <s v="Coahoma"/>
    <n v="21390"/>
    <n v="554"/>
  </r>
  <r>
    <s v="MS"/>
    <x v="26"/>
    <s v="Copiah"/>
    <n v="28368"/>
    <n v="777"/>
  </r>
  <r>
    <s v="MS"/>
    <x v="26"/>
    <s v="Covington"/>
    <n v="18340"/>
    <n v="414"/>
  </r>
  <r>
    <s v="MS"/>
    <x v="26"/>
    <s v="DeSoto"/>
    <n v="185314"/>
    <n v="478"/>
  </r>
  <r>
    <s v="MS"/>
    <x v="26"/>
    <s v="Forrest"/>
    <n v="78158"/>
    <n v="467"/>
  </r>
  <r>
    <s v="MS"/>
    <x v="26"/>
    <s v="Franklin"/>
    <n v="7675"/>
    <n v="565"/>
  </r>
  <r>
    <s v="MS"/>
    <x v="26"/>
    <s v="George"/>
    <n v="24350"/>
    <n v="478"/>
  </r>
  <r>
    <s v="MS"/>
    <x v="26"/>
    <s v="Greene"/>
    <n v="13530"/>
    <n v="713"/>
  </r>
  <r>
    <s v="MS"/>
    <x v="26"/>
    <s v="Grenada"/>
    <n v="21629"/>
    <n v="422"/>
  </r>
  <r>
    <s v="MS"/>
    <x v="26"/>
    <s v="Hancock"/>
    <n v="46053"/>
    <n v="477"/>
  </r>
  <r>
    <s v="MS"/>
    <x v="26"/>
    <s v="Harrison"/>
    <n v="208621"/>
    <n v="581"/>
  </r>
  <r>
    <s v="MS"/>
    <x v="26"/>
    <s v="Hinds"/>
    <n v="227742"/>
    <n v="869"/>
  </r>
  <r>
    <s v="MS"/>
    <x v="26"/>
    <s v="Holmes"/>
    <n v="17000"/>
    <n v="756"/>
  </r>
  <r>
    <s v="MS"/>
    <x v="26"/>
    <s v="Humphreys"/>
    <n v="7785"/>
    <n v="418"/>
  </r>
  <r>
    <s v="MS"/>
    <x v="26"/>
    <s v="Issaquena"/>
    <n v="1338"/>
    <n v="413"/>
  </r>
  <r>
    <s v="MS"/>
    <x v="26"/>
    <s v="Itawamba"/>
    <n v="23863"/>
    <n v="532"/>
  </r>
  <r>
    <s v="MS"/>
    <x v="26"/>
    <s v="Jackson"/>
    <n v="143252"/>
    <n v="727"/>
  </r>
  <r>
    <s v="MS"/>
    <x v="26"/>
    <s v="Jasper"/>
    <n v="16367"/>
    <n v="676"/>
  </r>
  <r>
    <s v="MS"/>
    <x v="26"/>
    <s v="Jefferson"/>
    <n v="7260"/>
    <n v="519"/>
  </r>
  <r>
    <s v="MS"/>
    <x v="26"/>
    <s v="Jefferson Davis"/>
    <n v="11321"/>
    <n v="408"/>
  </r>
  <r>
    <s v="MS"/>
    <x v="26"/>
    <s v="Jones"/>
    <n v="67246"/>
    <n v="694"/>
  </r>
  <r>
    <s v="MS"/>
    <x v="26"/>
    <s v="Kemper"/>
    <n v="8988"/>
    <n v="766"/>
  </r>
  <r>
    <s v="MS"/>
    <x v="26"/>
    <s v="Lafayette"/>
    <n v="55813"/>
    <n v="631"/>
  </r>
  <r>
    <s v="MS"/>
    <x v="26"/>
    <s v="Lamar"/>
    <n v="64222"/>
    <n v="497"/>
  </r>
  <r>
    <s v="MS"/>
    <x v="26"/>
    <s v="Lauderdale"/>
    <n v="72984"/>
    <n v="704"/>
  </r>
  <r>
    <s v="MS"/>
    <x v="26"/>
    <s v="Lawrence"/>
    <n v="12016"/>
    <n v="431"/>
  </r>
  <r>
    <s v="MS"/>
    <x v="26"/>
    <s v="Leake"/>
    <n v="21275"/>
    <n v="583"/>
  </r>
  <r>
    <s v="MS"/>
    <x v="26"/>
    <s v="Lee"/>
    <n v="83343"/>
    <n v="450"/>
  </r>
  <r>
    <s v="MS"/>
    <x v="26"/>
    <s v="Leflore"/>
    <n v="28339"/>
    <n v="592"/>
  </r>
  <r>
    <s v="MS"/>
    <x v="26"/>
    <s v="Lincoln"/>
    <n v="34907"/>
    <n v="586"/>
  </r>
  <r>
    <s v="MS"/>
    <x v="26"/>
    <s v="Lowndes"/>
    <n v="58879"/>
    <n v="502"/>
  </r>
  <r>
    <s v="MS"/>
    <x v="26"/>
    <s v="Madison"/>
    <n v="109145"/>
    <n v="719"/>
  </r>
  <r>
    <s v="MS"/>
    <x v="26"/>
    <s v="Marion"/>
    <n v="24441"/>
    <n v="542"/>
  </r>
  <r>
    <s v="MS"/>
    <x v="26"/>
    <s v="Marshall"/>
    <n v="33752"/>
    <n v="706"/>
  </r>
  <r>
    <s v="MS"/>
    <x v="26"/>
    <s v="Monroe"/>
    <n v="34180"/>
    <n v="764"/>
  </r>
  <r>
    <s v="MS"/>
    <x v="26"/>
    <s v="Montgomery"/>
    <n v="9822"/>
    <n v="407"/>
  </r>
  <r>
    <s v="MS"/>
    <x v="26"/>
    <s v="Neshoba"/>
    <n v="29087"/>
    <n v="570"/>
  </r>
  <r>
    <s v="MS"/>
    <x v="26"/>
    <s v="Newton"/>
    <n v="21291"/>
    <n v="578"/>
  </r>
  <r>
    <s v="MS"/>
    <x v="26"/>
    <s v="Noxubee"/>
    <n v="10285"/>
    <n v="695"/>
  </r>
  <r>
    <s v="MS"/>
    <x v="26"/>
    <s v="Oktibbeha"/>
    <n v="51788"/>
    <n v="458"/>
  </r>
  <r>
    <s v="MS"/>
    <x v="26"/>
    <s v="Panola"/>
    <n v="33208"/>
    <n v="684"/>
  </r>
  <r>
    <s v="MS"/>
    <x v="26"/>
    <s v="Pearl River"/>
    <n v="56145"/>
    <n v="812"/>
  </r>
  <r>
    <s v="MS"/>
    <x v="26"/>
    <s v="Perry"/>
    <n v="11511"/>
    <n v="647"/>
  </r>
  <r>
    <s v="MS"/>
    <x v="26"/>
    <s v="Pike"/>
    <n v="40324"/>
    <n v="409"/>
  </r>
  <r>
    <s v="MS"/>
    <x v="26"/>
    <s v="Pontotoc"/>
    <n v="31184"/>
    <n v="497"/>
  </r>
  <r>
    <s v="MS"/>
    <x v="26"/>
    <s v="Prentiss"/>
    <n v="25008"/>
    <n v="415"/>
  </r>
  <r>
    <s v="MS"/>
    <x v="26"/>
    <s v="Quitman"/>
    <n v="6176"/>
    <n v="405"/>
  </r>
  <r>
    <s v="MS"/>
    <x v="26"/>
    <s v="Rankin"/>
    <n v="157031"/>
    <n v="775"/>
  </r>
  <r>
    <s v="MS"/>
    <x v="26"/>
    <s v="Scott"/>
    <n v="27990"/>
    <n v="609"/>
  </r>
  <r>
    <s v="MS"/>
    <x v="26"/>
    <s v="Sharkey"/>
    <n v="3800"/>
    <n v="428"/>
  </r>
  <r>
    <s v="MS"/>
    <x v="26"/>
    <s v="Simpson"/>
    <n v="25949"/>
    <n v="589"/>
  </r>
  <r>
    <s v="MS"/>
    <x v="26"/>
    <s v="Smith"/>
    <n v="14209"/>
    <n v="636"/>
  </r>
  <r>
    <s v="MS"/>
    <x v="26"/>
    <s v="Stone"/>
    <n v="18333"/>
    <n v="445"/>
  </r>
  <r>
    <s v="MS"/>
    <x v="26"/>
    <s v="Sunflower"/>
    <n v="25971"/>
    <n v="694"/>
  </r>
  <r>
    <s v="MS"/>
    <x v="26"/>
    <s v="Tallahatchie"/>
    <n v="12715"/>
    <n v="644"/>
  </r>
  <r>
    <s v="MS"/>
    <x v="26"/>
    <s v="Tate"/>
    <n v="28064"/>
    <n v="404"/>
  </r>
  <r>
    <s v="MS"/>
    <x v="26"/>
    <s v="Tippah"/>
    <n v="21815"/>
    <n v="458"/>
  </r>
  <r>
    <s v="MS"/>
    <x v="26"/>
    <s v="Tishomingo"/>
    <n v="18850"/>
    <n v="424"/>
  </r>
  <r>
    <s v="MS"/>
    <x v="26"/>
    <s v="Tunica"/>
    <n v="9782"/>
    <n v="455"/>
  </r>
  <r>
    <s v="MS"/>
    <x v="26"/>
    <s v="Union"/>
    <n v="27777"/>
    <n v="416"/>
  </r>
  <r>
    <s v="MS"/>
    <x v="26"/>
    <s v="Walthall"/>
    <n v="13884"/>
    <n v="404"/>
  </r>
  <r>
    <s v="MS"/>
    <x v="26"/>
    <s v="Warren"/>
    <n v="44722"/>
    <n v="587"/>
  </r>
  <r>
    <s v="MS"/>
    <x v="26"/>
    <s v="Washington"/>
    <n v="44922"/>
    <n v="724"/>
  </r>
  <r>
    <s v="MS"/>
    <x v="26"/>
    <s v="Wayne"/>
    <n v="19779"/>
    <n v="810"/>
  </r>
  <r>
    <s v="MS"/>
    <x v="26"/>
    <s v="Webster"/>
    <n v="9926"/>
    <n v="423"/>
  </r>
  <r>
    <s v="MS"/>
    <x v="26"/>
    <s v="Wilkinson"/>
    <n v="8587"/>
    <n v="677"/>
  </r>
  <r>
    <s v="MS"/>
    <x v="26"/>
    <s v="Winston"/>
    <n v="17714"/>
    <n v="607"/>
  </r>
  <r>
    <s v="MS"/>
    <x v="26"/>
    <s v="Yalobusha"/>
    <n v="12481"/>
    <n v="467"/>
  </r>
  <r>
    <s v="MS"/>
    <x v="26"/>
    <s v="Yazoo"/>
    <n v="26743"/>
    <n v="920"/>
  </r>
  <r>
    <s v="MO"/>
    <x v="27"/>
    <s v="Adair"/>
    <n v="25314"/>
    <n v="568"/>
  </r>
  <r>
    <s v="MO"/>
    <x v="27"/>
    <s v="Andrew"/>
    <n v="18135"/>
    <n v="435"/>
  </r>
  <r>
    <s v="MO"/>
    <x v="27"/>
    <s v="Atchison"/>
    <n v="5305"/>
    <n v="545"/>
  </r>
  <r>
    <s v="MO"/>
    <x v="27"/>
    <s v="Audrain"/>
    <n v="24962"/>
    <n v="693"/>
  </r>
  <r>
    <s v="MO"/>
    <x v="27"/>
    <s v="Barry"/>
    <n v="34534"/>
    <n v="779"/>
  </r>
  <r>
    <s v="MO"/>
    <x v="27"/>
    <s v="Barton"/>
    <n v="11637"/>
    <n v="594"/>
  </r>
  <r>
    <s v="MO"/>
    <x v="27"/>
    <s v="Bates"/>
    <n v="16042"/>
    <n v="848"/>
  </r>
  <r>
    <s v="MO"/>
    <x v="27"/>
    <s v="Benton"/>
    <n v="19394"/>
    <n v="706"/>
  </r>
  <r>
    <s v="MO"/>
    <x v="27"/>
    <s v="Bollinger"/>
    <n v="10567"/>
    <n v="621"/>
  </r>
  <r>
    <s v="MO"/>
    <x v="27"/>
    <s v="Boone"/>
    <n v="183610"/>
    <n v="685"/>
  </r>
  <r>
    <s v="MO"/>
    <x v="27"/>
    <s v="Buchanan"/>
    <n v="84793"/>
    <n v="410"/>
  </r>
  <r>
    <s v="MO"/>
    <x v="27"/>
    <s v="Butler"/>
    <n v="42130"/>
    <n v="698"/>
  </r>
  <r>
    <s v="MO"/>
    <x v="27"/>
    <s v="Caldwell"/>
    <n v="8815"/>
    <n v="429"/>
  </r>
  <r>
    <s v="MO"/>
    <x v="27"/>
    <s v="Callaway"/>
    <n v="44283"/>
    <n v="839"/>
  </r>
  <r>
    <s v="MO"/>
    <x v="27"/>
    <s v="Camden"/>
    <n v="42745"/>
    <n v="655"/>
  </r>
  <r>
    <s v="MO"/>
    <x v="27"/>
    <s v="Cape Girardeau"/>
    <n v="81710"/>
    <n v="579"/>
  </r>
  <r>
    <s v="MO"/>
    <x v="27"/>
    <s v="Carroll"/>
    <n v="8495"/>
    <n v="695"/>
  </r>
  <r>
    <s v="MO"/>
    <x v="27"/>
    <s v="Carter"/>
    <n v="5202"/>
    <n v="508"/>
  </r>
  <r>
    <s v="MO"/>
    <x v="27"/>
    <s v="Cass"/>
    <n v="107824"/>
    <n v="699"/>
  </r>
  <r>
    <s v="MO"/>
    <x v="27"/>
    <s v="Cedar"/>
    <n v="14188"/>
    <n v="476"/>
  </r>
  <r>
    <s v="MO"/>
    <x v="27"/>
    <s v="Chariton"/>
    <n v="7408"/>
    <n v="756"/>
  </r>
  <r>
    <s v="MO"/>
    <x v="27"/>
    <s v="Christian"/>
    <n v="88842"/>
    <n v="563"/>
  </r>
  <r>
    <s v="MO"/>
    <x v="27"/>
    <s v="Clark"/>
    <n v="6634"/>
    <n v="507"/>
  </r>
  <r>
    <s v="MO"/>
    <x v="27"/>
    <s v="Clay"/>
    <n v="253335"/>
    <n v="396"/>
  </r>
  <r>
    <s v="MO"/>
    <x v="27"/>
    <s v="Clinton"/>
    <n v="21184"/>
    <n v="419"/>
  </r>
  <r>
    <s v="MO"/>
    <x v="27"/>
    <s v="Cole"/>
    <n v="77279"/>
    <n v="392"/>
  </r>
  <r>
    <s v="MO"/>
    <x v="27"/>
    <s v="Cooper"/>
    <n v="17103"/>
    <n v="565"/>
  </r>
  <r>
    <s v="MO"/>
    <x v="27"/>
    <s v="Crawford"/>
    <n v="23056"/>
    <n v="743"/>
  </r>
  <r>
    <s v="MO"/>
    <x v="27"/>
    <s v="Dade"/>
    <n v="7569"/>
    <n v="490"/>
  </r>
  <r>
    <s v="MO"/>
    <x v="27"/>
    <s v="Dallas"/>
    <n v="17071"/>
    <n v="542"/>
  </r>
  <r>
    <s v="MO"/>
    <x v="27"/>
    <s v="Daviess"/>
    <n v="8430"/>
    <n v="567"/>
  </r>
  <r>
    <s v="MO"/>
    <x v="27"/>
    <s v="DeKalb"/>
    <n v="11029"/>
    <n v="424"/>
  </r>
  <r>
    <s v="MO"/>
    <x v="27"/>
    <s v="Dent"/>
    <n v="14421"/>
    <n v="754"/>
  </r>
  <r>
    <s v="MO"/>
    <x v="27"/>
    <s v="Douglas"/>
    <n v="11578"/>
    <n v="815"/>
  </r>
  <r>
    <s v="MO"/>
    <x v="27"/>
    <s v="Dunklin"/>
    <n v="28283"/>
    <n v="546"/>
  </r>
  <r>
    <s v="MO"/>
    <x v="27"/>
    <s v="Franklin"/>
    <n v="104682"/>
    <n v="922"/>
  </r>
  <r>
    <s v="MO"/>
    <x v="27"/>
    <s v="Gasconade"/>
    <n v="14794"/>
    <n v="520"/>
  </r>
  <r>
    <s v="MO"/>
    <x v="27"/>
    <s v="Gentry"/>
    <n v="6162"/>
    <n v="492"/>
  </r>
  <r>
    <s v="MO"/>
    <x v="27"/>
    <s v="Greene"/>
    <n v="298915"/>
    <n v="675"/>
  </r>
  <r>
    <s v="MO"/>
    <x v="27"/>
    <s v="Grundy"/>
    <n v="9808"/>
    <n v="436"/>
  </r>
  <r>
    <s v="MO"/>
    <x v="27"/>
    <s v="Harrison"/>
    <n v="8157"/>
    <n v="725"/>
  </r>
  <r>
    <s v="MO"/>
    <x v="27"/>
    <s v="Henry"/>
    <n v="21946"/>
    <n v="702"/>
  </r>
  <r>
    <s v="MO"/>
    <x v="27"/>
    <s v="Hickory"/>
    <n v="8279"/>
    <n v="399"/>
  </r>
  <r>
    <s v="MO"/>
    <x v="27"/>
    <s v="Holt"/>
    <n v="4223"/>
    <n v="462"/>
  </r>
  <r>
    <s v="MO"/>
    <x v="27"/>
    <s v="Howard"/>
    <n v="10151"/>
    <n v="466"/>
  </r>
  <r>
    <s v="MO"/>
    <x v="27"/>
    <s v="Howell"/>
    <n v="39750"/>
    <n v="928"/>
  </r>
  <r>
    <s v="MO"/>
    <x v="27"/>
    <s v="Iron"/>
    <n v="9537"/>
    <n v="551"/>
  </r>
  <r>
    <s v="MO"/>
    <x v="27"/>
    <s v="Jackson"/>
    <n v="717204"/>
    <n v="605"/>
  </r>
  <r>
    <s v="MO"/>
    <x v="27"/>
    <s v="Jasper"/>
    <n v="122761"/>
    <n v="640"/>
  </r>
  <r>
    <s v="MO"/>
    <x v="27"/>
    <s v="Jefferson"/>
    <n v="226739"/>
    <n v="657"/>
  </r>
  <r>
    <s v="MO"/>
    <x v="27"/>
    <s v="Johnson"/>
    <n v="54013"/>
    <n v="831"/>
  </r>
  <r>
    <s v="MO"/>
    <x v="27"/>
    <s v="Knox"/>
    <n v="3744"/>
    <n v="506"/>
  </r>
  <r>
    <s v="MO"/>
    <x v="27"/>
    <s v="Laclede"/>
    <n v="36039"/>
    <n v="766"/>
  </r>
  <r>
    <s v="MO"/>
    <x v="27"/>
    <s v="Lafayette"/>
    <n v="32984"/>
    <n v="629"/>
  </r>
  <r>
    <s v="MO"/>
    <x v="27"/>
    <s v="Lawrence"/>
    <n v="38001"/>
    <n v="613"/>
  </r>
  <r>
    <s v="MO"/>
    <x v="27"/>
    <s v="Lewis"/>
    <n v="10032"/>
    <n v="505"/>
  </r>
  <r>
    <s v="MO"/>
    <x v="27"/>
    <s v="Lincoln"/>
    <n v="59574"/>
    <n v="630"/>
  </r>
  <r>
    <s v="MO"/>
    <x v="27"/>
    <s v="Linn"/>
    <n v="11874"/>
    <n v="620"/>
  </r>
  <r>
    <s v="MO"/>
    <x v="27"/>
    <s v="Livingston"/>
    <n v="14557"/>
    <n v="535"/>
  </r>
  <r>
    <s v="MO"/>
    <x v="27"/>
    <s v="Macon"/>
    <n v="15209"/>
    <n v="497"/>
  </r>
  <r>
    <s v="MO"/>
    <x v="27"/>
    <s v="Madison"/>
    <n v="12626"/>
    <n v="528"/>
  </r>
  <r>
    <s v="MO"/>
    <x v="27"/>
    <s v="Maries"/>
    <n v="8432"/>
    <n v="438"/>
  </r>
  <r>
    <s v="MO"/>
    <x v="27"/>
    <s v="Marion"/>
    <n v="28525"/>
    <n v="540"/>
  </r>
  <r>
    <s v="MO"/>
    <x v="27"/>
    <s v="McDonald"/>
    <n v="23303"/>
    <n v="804"/>
  </r>
  <r>
    <s v="MO"/>
    <x v="27"/>
    <s v="Mercer"/>
    <n v="3538"/>
    <n v="454"/>
  </r>
  <r>
    <s v="MO"/>
    <x v="27"/>
    <s v="Miller"/>
    <n v="24722"/>
    <n v="592"/>
  </r>
  <r>
    <s v="MO"/>
    <x v="27"/>
    <s v="Mississippi"/>
    <n v="12577"/>
    <n v="413"/>
  </r>
  <r>
    <s v="MO"/>
    <x v="27"/>
    <s v="Moniteau"/>
    <n v="15473"/>
    <n v="417"/>
  </r>
  <r>
    <s v="MO"/>
    <x v="27"/>
    <s v="Monroe"/>
    <n v="8666"/>
    <n v="646"/>
  </r>
  <r>
    <s v="MO"/>
    <x v="27"/>
    <s v="Montgomery"/>
    <n v="11322"/>
    <n v="539"/>
  </r>
  <r>
    <s v="MO"/>
    <x v="27"/>
    <s v="Morgan"/>
    <n v="21006"/>
    <n v="598"/>
  </r>
  <r>
    <s v="MO"/>
    <x v="27"/>
    <s v="New Madrid"/>
    <n v="16434"/>
    <n v="678"/>
  </r>
  <r>
    <s v="MO"/>
    <x v="27"/>
    <s v="Newton"/>
    <n v="58648"/>
    <n v="626"/>
  </r>
  <r>
    <s v="MO"/>
    <x v="27"/>
    <s v="Nodaway"/>
    <n v="21241"/>
    <n v="877"/>
  </r>
  <r>
    <s v="MO"/>
    <x v="27"/>
    <s v="Oregon"/>
    <n v="8635"/>
    <n v="792"/>
  </r>
  <r>
    <s v="MO"/>
    <x v="27"/>
    <s v="Osage"/>
    <n v="13274"/>
    <n v="606"/>
  </r>
  <r>
    <s v="MO"/>
    <x v="27"/>
    <s v="Ozark"/>
    <n v="8553"/>
    <n v="747"/>
  </r>
  <r>
    <s v="MO"/>
    <x v="27"/>
    <s v="Pemiscot"/>
    <n v="15661"/>
    <n v="493"/>
  </r>
  <r>
    <s v="MO"/>
    <x v="27"/>
    <s v="Perry"/>
    <n v="18956"/>
    <n v="475"/>
  </r>
  <r>
    <s v="MO"/>
    <x v="27"/>
    <s v="Pettis"/>
    <n v="42980"/>
    <n v="685"/>
  </r>
  <r>
    <s v="MO"/>
    <x v="27"/>
    <s v="Phelps"/>
    <n v="44638"/>
    <n v="673"/>
  </r>
  <r>
    <s v="MO"/>
    <x v="27"/>
    <s v="Pike"/>
    <n v="17587"/>
    <n v="673"/>
  </r>
  <r>
    <s v="MO"/>
    <x v="27"/>
    <s v="Platte"/>
    <n v="106718"/>
    <n v="420"/>
  </r>
  <r>
    <s v="MO"/>
    <x v="27"/>
    <s v="Polk"/>
    <n v="31519"/>
    <n v="637"/>
  </r>
  <r>
    <s v="MO"/>
    <x v="27"/>
    <s v="Pulaski"/>
    <n v="53955"/>
    <n v="547"/>
  </r>
  <r>
    <s v="MO"/>
    <x v="27"/>
    <s v="Putnam"/>
    <n v="4681"/>
    <n v="518"/>
  </r>
  <r>
    <s v="MO"/>
    <x v="27"/>
    <s v="Ralls"/>
    <n v="10355"/>
    <n v="471"/>
  </r>
  <r>
    <s v="MO"/>
    <x v="27"/>
    <s v="Randolph"/>
    <n v="24716"/>
    <n v="482"/>
  </r>
  <r>
    <s v="MO"/>
    <x v="27"/>
    <s v="Ray"/>
    <n v="23158"/>
    <n v="570"/>
  </r>
  <r>
    <s v="MO"/>
    <x v="27"/>
    <s v="Reynolds"/>
    <n v="6096"/>
    <n v="811"/>
  </r>
  <r>
    <s v="MO"/>
    <x v="27"/>
    <s v="Ripley"/>
    <n v="10679"/>
    <n v="630"/>
  </r>
  <r>
    <s v="MO"/>
    <x v="27"/>
    <s v="St. Charles"/>
    <n v="405262"/>
    <n v="593"/>
  </r>
  <r>
    <s v="MO"/>
    <x v="27"/>
    <s v="St. Clair"/>
    <n v="9284"/>
    <n v="677"/>
  </r>
  <r>
    <s v="MO"/>
    <x v="27"/>
    <s v="St. Francois"/>
    <n v="66922"/>
    <n v="508"/>
  </r>
  <r>
    <s v="MO"/>
    <x v="27"/>
    <s v="St. Louis"/>
    <n v="1004125"/>
    <n v="508"/>
  </r>
  <r>
    <s v="MO"/>
    <x v="27"/>
    <s v="Ste. Genevieve"/>
    <n v="18479"/>
    <n v="502"/>
  </r>
  <r>
    <s v="MO"/>
    <x v="27"/>
    <s v="Saline"/>
    <n v="23333"/>
    <n v="756"/>
  </r>
  <r>
    <s v="MO"/>
    <x v="27"/>
    <s v="Schuyler"/>
    <n v="4032"/>
    <n v="308"/>
  </r>
  <r>
    <s v="MO"/>
    <x v="27"/>
    <s v="Scotland"/>
    <n v="4716"/>
    <n v="438"/>
  </r>
  <r>
    <s v="MO"/>
    <x v="27"/>
    <s v="Scott"/>
    <n v="38059"/>
    <n v="421"/>
  </r>
  <r>
    <s v="MO"/>
    <x v="27"/>
    <s v="Shannon"/>
    <n v="7031"/>
    <n v="1004"/>
  </r>
  <r>
    <s v="MO"/>
    <x v="27"/>
    <s v="Shelby"/>
    <n v="6103"/>
    <n v="501"/>
  </r>
  <r>
    <s v="MO"/>
    <x v="27"/>
    <s v="Stoddard"/>
    <n v="28672"/>
    <n v="827"/>
  </r>
  <r>
    <s v="MO"/>
    <x v="27"/>
    <s v="Stone"/>
    <n v="31076"/>
    <n v="463"/>
  </r>
  <r>
    <s v="MO"/>
    <x v="27"/>
    <s v="Sullivan"/>
    <n v="5999"/>
    <n v="651"/>
  </r>
  <r>
    <s v="MO"/>
    <x v="27"/>
    <s v="Taney"/>
    <n v="56066"/>
    <n v="632"/>
  </r>
  <r>
    <s v="MO"/>
    <x v="27"/>
    <s v="Texas"/>
    <n v="24487"/>
    <n v="1179"/>
  </r>
  <r>
    <s v="MO"/>
    <x v="27"/>
    <s v="Vernon"/>
    <n v="19707"/>
    <n v="834"/>
  </r>
  <r>
    <s v="MO"/>
    <x v="27"/>
    <s v="Warren"/>
    <n v="35532"/>
    <n v="432"/>
  </r>
  <r>
    <s v="MO"/>
    <x v="27"/>
    <s v="Washington"/>
    <n v="23514"/>
    <n v="760"/>
  </r>
  <r>
    <s v="MO"/>
    <x v="27"/>
    <s v="Wayne"/>
    <n v="10974"/>
    <n v="761"/>
  </r>
  <r>
    <s v="MO"/>
    <x v="27"/>
    <s v="Webster"/>
    <n v="39085"/>
    <n v="593"/>
  </r>
  <r>
    <s v="MO"/>
    <x v="27"/>
    <s v="Worth"/>
    <n v="1973"/>
    <n v="266"/>
  </r>
  <r>
    <s v="MO"/>
    <x v="27"/>
    <s v="Wright"/>
    <n v="18188"/>
    <n v="682"/>
  </r>
  <r>
    <s v="MO"/>
    <x v="27"/>
    <s v="St. Louis, City of"/>
    <n v="301578"/>
    <n v="61.9"/>
  </r>
  <r>
    <s v="MT"/>
    <x v="28"/>
    <s v="Beaverhead"/>
    <n v="9371"/>
    <n v="5543"/>
  </r>
  <r>
    <s v="MT"/>
    <x v="28"/>
    <s v="Big Horn"/>
    <n v="13124"/>
    <n v="4995"/>
  </r>
  <r>
    <s v="MT"/>
    <x v="28"/>
    <s v="Blaine"/>
    <n v="7044"/>
    <n v="4226"/>
  </r>
  <r>
    <s v="MT"/>
    <x v="28"/>
    <s v="Broadwater"/>
    <n v="6774"/>
    <n v="1192"/>
  </r>
  <r>
    <s v="MT"/>
    <x v="28"/>
    <s v="Carbon"/>
    <n v="10473"/>
    <n v="2048"/>
  </r>
  <r>
    <s v="MT"/>
    <x v="28"/>
    <s v="Carter"/>
    <n v="1415"/>
    <n v="3340"/>
  </r>
  <r>
    <s v="MT"/>
    <x v="28"/>
    <s v="Cascade"/>
    <n v="84414"/>
    <n v="2698"/>
  </r>
  <r>
    <s v="MT"/>
    <x v="28"/>
    <s v="Chouteau"/>
    <n v="5895"/>
    <n v="3973"/>
  </r>
  <r>
    <s v="MT"/>
    <x v="28"/>
    <s v="Custer"/>
    <n v="11867"/>
    <n v="3783"/>
  </r>
  <r>
    <s v="MT"/>
    <x v="28"/>
    <s v="Daniels"/>
    <n v="1661"/>
    <n v="1426"/>
  </r>
  <r>
    <s v="MT"/>
    <x v="28"/>
    <s v="Dawson"/>
    <n v="8940"/>
    <n v="2373"/>
  </r>
  <r>
    <s v="MT"/>
    <x v="28"/>
    <s v="Deer Lodge"/>
    <n v="9421"/>
    <n v="737"/>
  </r>
  <r>
    <s v="MT"/>
    <x v="28"/>
    <s v="Fallon"/>
    <n v="3049"/>
    <n v="1620"/>
  </r>
  <r>
    <s v="MT"/>
    <x v="28"/>
    <s v="Fergus"/>
    <n v="11446"/>
    <n v="4339"/>
  </r>
  <r>
    <s v="MT"/>
    <x v="28"/>
    <s v="Flathead"/>
    <n v="104357"/>
    <n v="5099"/>
  </r>
  <r>
    <s v="MT"/>
    <x v="28"/>
    <s v="Gallatin"/>
    <n v="118960"/>
    <n v="2507"/>
  </r>
  <r>
    <s v="MT"/>
    <x v="28"/>
    <s v="Garfield"/>
    <n v="1173"/>
    <n v="4668"/>
  </r>
  <r>
    <s v="MT"/>
    <x v="28"/>
    <s v="Glacier"/>
    <n v="13778"/>
    <n v="2995"/>
  </r>
  <r>
    <s v="MT"/>
    <x v="28"/>
    <s v="Golden Valley"/>
    <n v="823"/>
    <n v="1175"/>
  </r>
  <r>
    <s v="MT"/>
    <x v="28"/>
    <s v="Granite"/>
    <n v="3309"/>
    <n v="1728"/>
  </r>
  <r>
    <s v="MT"/>
    <x v="28"/>
    <s v="Hill"/>
    <n v="16309"/>
    <n v="2896"/>
  </r>
  <r>
    <s v="MT"/>
    <x v="28"/>
    <s v="Jefferson"/>
    <n v="12085"/>
    <n v="1657"/>
  </r>
  <r>
    <s v="MT"/>
    <x v="28"/>
    <s v="Judith Basin"/>
    <n v="2023"/>
    <n v="1870"/>
  </r>
  <r>
    <s v="MT"/>
    <x v="28"/>
    <s v="Lake"/>
    <n v="31134"/>
    <n v="1490"/>
  </r>
  <r>
    <s v="MT"/>
    <x v="28"/>
    <s v="Lewis and Clark"/>
    <n v="70973"/>
    <n v="3461"/>
  </r>
  <r>
    <s v="MT"/>
    <x v="28"/>
    <s v="Liberty"/>
    <n v="1959"/>
    <n v="1430"/>
  </r>
  <r>
    <s v="MT"/>
    <x v="28"/>
    <s v="Lincoln"/>
    <n v="19677"/>
    <n v="3613"/>
  </r>
  <r>
    <s v="MT"/>
    <x v="28"/>
    <s v="Madison"/>
    <n v="8623"/>
    <n v="2643"/>
  </r>
  <r>
    <s v="MT"/>
    <x v="28"/>
    <s v="McCone"/>
    <n v="1729"/>
    <n v="3587"/>
  </r>
  <r>
    <s v="MT"/>
    <x v="28"/>
    <s v="Meagher"/>
    <n v="1927"/>
    <n v="2392"/>
  </r>
  <r>
    <s v="MT"/>
    <x v="28"/>
    <s v="Mineral"/>
    <n v="4535"/>
    <n v="1220"/>
  </r>
  <r>
    <s v="MT"/>
    <x v="28"/>
    <s v="Missoula"/>
    <n v="117922"/>
    <n v="2598"/>
  </r>
  <r>
    <s v="MT"/>
    <x v="28"/>
    <s v="Musselshell"/>
    <n v="4730"/>
    <n v="1867"/>
  </r>
  <r>
    <s v="MT"/>
    <x v="28"/>
    <s v="Park"/>
    <n v="17191"/>
    <n v="2656"/>
  </r>
  <r>
    <s v="MT"/>
    <x v="28"/>
    <s v="Petroleum"/>
    <n v="496"/>
    <n v="1654"/>
  </r>
  <r>
    <s v="MT"/>
    <x v="28"/>
    <s v="Phillips"/>
    <n v="4217"/>
    <n v="5140"/>
  </r>
  <r>
    <s v="MT"/>
    <x v="28"/>
    <s v="Pondera"/>
    <n v="5898"/>
    <n v="1625"/>
  </r>
  <r>
    <s v="MT"/>
    <x v="28"/>
    <s v="Powder River"/>
    <n v="1694"/>
    <n v="3297"/>
  </r>
  <r>
    <s v="MT"/>
    <x v="28"/>
    <s v="Powell"/>
    <n v="6946"/>
    <n v="2326"/>
  </r>
  <r>
    <s v="MT"/>
    <x v="28"/>
    <s v="Prairie"/>
    <n v="1088"/>
    <n v="1737"/>
  </r>
  <r>
    <s v="MT"/>
    <x v="28"/>
    <s v="Ravalli"/>
    <n v="44174"/>
    <n v="2394"/>
  </r>
  <r>
    <s v="MT"/>
    <x v="28"/>
    <s v="Richland"/>
    <n v="11491"/>
    <n v="2084"/>
  </r>
  <r>
    <s v="MT"/>
    <x v="28"/>
    <s v="Roosevelt"/>
    <n v="10794"/>
    <n v="2356"/>
  </r>
  <r>
    <s v="MT"/>
    <x v="28"/>
    <s v="Rosebud"/>
    <n v="8329"/>
    <n v="5012"/>
  </r>
  <r>
    <s v="MT"/>
    <x v="28"/>
    <s v="Sanders"/>
    <n v="12400"/>
    <n v="2762"/>
  </r>
  <r>
    <s v="MT"/>
    <x v="28"/>
    <s v="Sheridan"/>
    <n v="3539"/>
    <n v="1677"/>
  </r>
  <r>
    <s v="MT"/>
    <x v="28"/>
    <s v="Silver Bow"/>
    <n v="35133"/>
    <n v="718"/>
  </r>
  <r>
    <s v="MT"/>
    <x v="28"/>
    <s v="Stillwater"/>
    <n v="8963"/>
    <n v="1795"/>
  </r>
  <r>
    <s v="MT"/>
    <x v="28"/>
    <s v="Sweet Grass"/>
    <n v="3678"/>
    <n v="1855"/>
  </r>
  <r>
    <s v="MT"/>
    <x v="28"/>
    <s v="Teton"/>
    <n v="6226"/>
    <n v="2273"/>
  </r>
  <r>
    <s v="MT"/>
    <x v="28"/>
    <s v="Toole"/>
    <n v="4971"/>
    <n v="1911"/>
  </r>
  <r>
    <s v="MT"/>
    <x v="28"/>
    <s v="Treasure"/>
    <n v="762"/>
    <n v="979"/>
  </r>
  <r>
    <s v="MT"/>
    <x v="28"/>
    <s v="Valley"/>
    <n v="7578"/>
    <n v="4921"/>
  </r>
  <r>
    <s v="MT"/>
    <x v="28"/>
    <s v="Wheatland"/>
    <n v="2069"/>
    <n v="1423"/>
  </r>
  <r>
    <s v="MT"/>
    <x v="28"/>
    <s v="Wibaux"/>
    <n v="937"/>
    <n v="889"/>
  </r>
  <r>
    <s v="MT"/>
    <x v="28"/>
    <s v="Yellowstone"/>
    <n v="164731"/>
    <n v="2635"/>
  </r>
  <r>
    <s v="NE"/>
    <x v="29"/>
    <s v="Adams"/>
    <n v="31205"/>
    <n v="563"/>
  </r>
  <r>
    <s v="NE"/>
    <x v="29"/>
    <s v="Antelope"/>
    <n v="6295"/>
    <n v="857"/>
  </r>
  <r>
    <s v="NE"/>
    <x v="29"/>
    <s v="Arthur"/>
    <n v="434"/>
    <n v="715"/>
  </r>
  <r>
    <s v="NE"/>
    <x v="29"/>
    <s v="Banner"/>
    <n v="674"/>
    <n v="746"/>
  </r>
  <r>
    <s v="NE"/>
    <x v="29"/>
    <s v="Blaine"/>
    <n v="431"/>
    <n v="711"/>
  </r>
  <r>
    <s v="NE"/>
    <x v="29"/>
    <s v="Boone"/>
    <n v="5379"/>
    <n v="687"/>
  </r>
  <r>
    <s v="NE"/>
    <x v="29"/>
    <s v="Box Butte"/>
    <n v="10842"/>
    <n v="1075"/>
  </r>
  <r>
    <s v="NE"/>
    <x v="29"/>
    <s v="Boyd"/>
    <n v="1810"/>
    <n v="540"/>
  </r>
  <r>
    <s v="NE"/>
    <x v="29"/>
    <s v="Brown"/>
    <n v="2903"/>
    <n v="1221"/>
  </r>
  <r>
    <s v="NE"/>
    <x v="29"/>
    <s v="Buffalo"/>
    <n v="50084"/>
    <n v="968"/>
  </r>
  <r>
    <s v="NE"/>
    <x v="29"/>
    <s v="Burt"/>
    <n v="6722"/>
    <n v="493"/>
  </r>
  <r>
    <s v="NE"/>
    <x v="29"/>
    <s v="Butler"/>
    <n v="8369"/>
    <n v="584"/>
  </r>
  <r>
    <s v="NE"/>
    <x v="29"/>
    <s v="Cass"/>
    <n v="26598"/>
    <n v="559"/>
  </r>
  <r>
    <s v="NE"/>
    <x v="29"/>
    <s v="Cedar"/>
    <n v="8380"/>
    <n v="740"/>
  </r>
  <r>
    <s v="NE"/>
    <x v="29"/>
    <s v="Chase"/>
    <n v="3893"/>
    <n v="894"/>
  </r>
  <r>
    <s v="NE"/>
    <x v="29"/>
    <s v="Cherry"/>
    <n v="5455"/>
    <n v="5961"/>
  </r>
  <r>
    <s v="NE"/>
    <x v="29"/>
    <s v="Cheyenne"/>
    <n v="9468"/>
    <n v="1196"/>
  </r>
  <r>
    <s v="NE"/>
    <x v="29"/>
    <s v="Clay"/>
    <n v="6104"/>
    <n v="573"/>
  </r>
  <r>
    <s v="NE"/>
    <x v="29"/>
    <s v="Colfax"/>
    <n v="10582"/>
    <n v="413"/>
  </r>
  <r>
    <s v="NE"/>
    <x v="29"/>
    <s v="Cuming"/>
    <n v="9013"/>
    <n v="572"/>
  </r>
  <r>
    <s v="NE"/>
    <x v="29"/>
    <s v="Custer"/>
    <n v="10545"/>
    <n v="2579"/>
  </r>
  <r>
    <s v="NE"/>
    <x v="29"/>
    <s v="Dakota"/>
    <n v="21582"/>
    <n v="264"/>
  </r>
  <r>
    <s v="NE"/>
    <x v="29"/>
    <s v="Dawes"/>
    <n v="8199"/>
    <n v="1396"/>
  </r>
  <r>
    <s v="NE"/>
    <x v="29"/>
    <s v="Dawson"/>
    <n v="24111"/>
    <n v="1013"/>
  </r>
  <r>
    <s v="NE"/>
    <x v="29"/>
    <s v="Deuel"/>
    <n v="1838"/>
    <n v="440"/>
  </r>
  <r>
    <s v="NE"/>
    <x v="29"/>
    <s v="Dixon"/>
    <n v="5606"/>
    <n v="476"/>
  </r>
  <r>
    <s v="NE"/>
    <x v="29"/>
    <s v="Dodge"/>
    <n v="37167"/>
    <n v="534"/>
  </r>
  <r>
    <s v="NE"/>
    <x v="29"/>
    <s v="Douglas"/>
    <n v="584526"/>
    <n v="331"/>
  </r>
  <r>
    <s v="NE"/>
    <x v="29"/>
    <s v="Dundy"/>
    <n v="1654"/>
    <n v="920"/>
  </r>
  <r>
    <s v="NE"/>
    <x v="29"/>
    <s v="Fillmore"/>
    <n v="5551"/>
    <n v="576"/>
  </r>
  <r>
    <s v="NE"/>
    <x v="29"/>
    <s v="Franklin"/>
    <n v="2889"/>
    <n v="576"/>
  </r>
  <r>
    <s v="NE"/>
    <x v="29"/>
    <s v="Frontier"/>
    <n v="2519"/>
    <n v="975"/>
  </r>
  <r>
    <s v="NE"/>
    <x v="29"/>
    <s v="Furnas"/>
    <n v="4636"/>
    <n v="718"/>
  </r>
  <r>
    <s v="NE"/>
    <x v="29"/>
    <s v="Gage"/>
    <n v="21704"/>
    <n v="855"/>
  </r>
  <r>
    <s v="NE"/>
    <x v="29"/>
    <s v="Garden"/>
    <n v="1874"/>
    <n v="1705"/>
  </r>
  <r>
    <s v="NE"/>
    <x v="29"/>
    <s v="Garfield"/>
    <n v="1813"/>
    <n v="570"/>
  </r>
  <r>
    <s v="NE"/>
    <x v="29"/>
    <s v="Gosper"/>
    <n v="1893"/>
    <n v="458"/>
  </r>
  <r>
    <s v="NE"/>
    <x v="29"/>
    <s v="Grant"/>
    <n v="611"/>
    <n v="776"/>
  </r>
  <r>
    <s v="NE"/>
    <x v="29"/>
    <s v="Greeley"/>
    <n v="2188"/>
    <n v="570"/>
  </r>
  <r>
    <s v="NE"/>
    <x v="29"/>
    <s v="Hall"/>
    <n v="62895"/>
    <n v="546"/>
  </r>
  <r>
    <s v="NE"/>
    <x v="29"/>
    <s v="Hamilton"/>
    <n v="9429"/>
    <n v="544"/>
  </r>
  <r>
    <s v="NE"/>
    <x v="29"/>
    <s v="Harlan"/>
    <n v="3073"/>
    <n v="553"/>
  </r>
  <r>
    <s v="NE"/>
    <x v="29"/>
    <s v="Hayes"/>
    <n v="856"/>
    <n v="713"/>
  </r>
  <r>
    <s v="NE"/>
    <x v="29"/>
    <s v="Hitchcock"/>
    <n v="2616"/>
    <n v="710"/>
  </r>
  <r>
    <s v="NE"/>
    <x v="29"/>
    <s v="Holt"/>
    <n v="10127"/>
    <n v="2413"/>
  </r>
  <r>
    <s v="NE"/>
    <x v="29"/>
    <s v="Hooker"/>
    <n v="711"/>
    <n v="721"/>
  </r>
  <r>
    <s v="NE"/>
    <x v="29"/>
    <s v="Howard"/>
    <n v="6475"/>
    <n v="570"/>
  </r>
  <r>
    <s v="NE"/>
    <x v="29"/>
    <s v="Jefferson"/>
    <n v="7240"/>
    <n v="573"/>
  </r>
  <r>
    <s v="NE"/>
    <x v="29"/>
    <s v="Johnson"/>
    <n v="5290"/>
    <n v="376"/>
  </r>
  <r>
    <s v="NE"/>
    <x v="29"/>
    <s v="Kearney"/>
    <n v="6688"/>
    <n v="516"/>
  </r>
  <r>
    <s v="NE"/>
    <x v="29"/>
    <s v="Keith"/>
    <n v="8335"/>
    <n v="1061"/>
  </r>
  <r>
    <s v="NE"/>
    <x v="29"/>
    <s v="Keya Paha"/>
    <n v="769"/>
    <n v="773"/>
  </r>
  <r>
    <s v="NE"/>
    <x v="29"/>
    <s v="Kimball"/>
    <n v="3434"/>
    <n v="952"/>
  </r>
  <r>
    <s v="NE"/>
    <x v="29"/>
    <s v="Knox"/>
    <n v="8391"/>
    <n v="1108"/>
  </r>
  <r>
    <s v="NE"/>
    <x v="29"/>
    <s v="Lancaster"/>
    <n v="322608"/>
    <n v="839"/>
  </r>
  <r>
    <s v="NE"/>
    <x v="29"/>
    <s v="Lincoln"/>
    <n v="34676"/>
    <n v="2564"/>
  </r>
  <r>
    <s v="NE"/>
    <x v="29"/>
    <s v="Logan"/>
    <n v="716"/>
    <n v="571"/>
  </r>
  <r>
    <s v="NE"/>
    <x v="29"/>
    <s v="Loup"/>
    <n v="607"/>
    <n v="570"/>
  </r>
  <r>
    <s v="NE"/>
    <x v="29"/>
    <s v="Madison"/>
    <n v="35585"/>
    <n v="859"/>
  </r>
  <r>
    <s v="NE"/>
    <x v="29"/>
    <s v="McPherson"/>
    <n v="399"/>
    <n v="573"/>
  </r>
  <r>
    <s v="NE"/>
    <x v="29"/>
    <s v="Merrick"/>
    <n v="7668"/>
    <n v="485"/>
  </r>
  <r>
    <s v="NE"/>
    <x v="29"/>
    <s v="Morrill"/>
    <n v="4555"/>
    <n v="1424"/>
  </r>
  <r>
    <s v="NE"/>
    <x v="29"/>
    <s v="Nance"/>
    <n v="3380"/>
    <n v="441"/>
  </r>
  <r>
    <s v="NE"/>
    <x v="29"/>
    <s v="Nemaha"/>
    <n v="7074"/>
    <n v="409"/>
  </r>
  <r>
    <s v="NE"/>
    <x v="29"/>
    <s v="Nuckolls"/>
    <n v="4095"/>
    <n v="575"/>
  </r>
  <r>
    <s v="NE"/>
    <x v="29"/>
    <s v="Otoe"/>
    <n v="15912"/>
    <n v="616"/>
  </r>
  <r>
    <s v="NE"/>
    <x v="29"/>
    <s v="Pawnee"/>
    <n v="2544"/>
    <n v="432"/>
  </r>
  <r>
    <s v="NE"/>
    <x v="29"/>
    <s v="Perkins"/>
    <n v="2858"/>
    <n v="883"/>
  </r>
  <r>
    <s v="NE"/>
    <x v="29"/>
    <s v="Phelps"/>
    <n v="8968"/>
    <n v="540"/>
  </r>
  <r>
    <s v="NE"/>
    <x v="29"/>
    <s v="Pierce"/>
    <n v="7317"/>
    <n v="574"/>
  </r>
  <r>
    <s v="NE"/>
    <x v="29"/>
    <s v="Platte"/>
    <n v="34296"/>
    <n v="678"/>
  </r>
  <r>
    <s v="NE"/>
    <x v="29"/>
    <s v="Polk"/>
    <n v="5214"/>
    <n v="439"/>
  </r>
  <r>
    <s v="NE"/>
    <x v="29"/>
    <s v="Red Willow"/>
    <n v="10702"/>
    <n v="717"/>
  </r>
  <r>
    <s v="NE"/>
    <x v="29"/>
    <s v="Richardson"/>
    <n v="7871"/>
    <n v="554"/>
  </r>
  <r>
    <s v="NE"/>
    <x v="29"/>
    <s v="Rock"/>
    <n v="1262"/>
    <n v="1008"/>
  </r>
  <r>
    <s v="NE"/>
    <x v="29"/>
    <s v="Saline"/>
    <n v="14292"/>
    <n v="575"/>
  </r>
  <r>
    <s v="NE"/>
    <x v="29"/>
    <s v="Sarpy"/>
    <n v="190604"/>
    <n v="241"/>
  </r>
  <r>
    <s v="NE"/>
    <x v="29"/>
    <s v="Saunders"/>
    <n v="22278"/>
    <n v="754"/>
  </r>
  <r>
    <s v="NE"/>
    <x v="29"/>
    <s v="Scotts Bluff"/>
    <n v="36084"/>
    <n v="739"/>
  </r>
  <r>
    <s v="NE"/>
    <x v="29"/>
    <s v="Seward"/>
    <n v="17609"/>
    <n v="575"/>
  </r>
  <r>
    <s v="NE"/>
    <x v="29"/>
    <s v="Sheridan"/>
    <n v="5127"/>
    <n v="2441"/>
  </r>
  <r>
    <s v="NE"/>
    <x v="29"/>
    <s v="Sherman"/>
    <n v="2959"/>
    <n v="566"/>
  </r>
  <r>
    <s v="NE"/>
    <x v="29"/>
    <s v="Sioux"/>
    <n v="1135"/>
    <n v="1313"/>
  </r>
  <r>
    <s v="NE"/>
    <x v="29"/>
    <s v="Stanton"/>
    <n v="5842"/>
    <n v="430"/>
  </r>
  <r>
    <s v="NE"/>
    <x v="29"/>
    <s v="Thayer"/>
    <n v="5034"/>
    <n v="575"/>
  </r>
  <r>
    <s v="NE"/>
    <x v="29"/>
    <s v="Thomas"/>
    <n v="669"/>
    <n v="713"/>
  </r>
  <r>
    <s v="NE"/>
    <x v="29"/>
    <s v="Thurston"/>
    <n v="6773"/>
    <n v="394"/>
  </r>
  <r>
    <s v="NE"/>
    <x v="29"/>
    <s v="Valley"/>
    <n v="4059"/>
    <n v="568"/>
  </r>
  <r>
    <s v="NE"/>
    <x v="29"/>
    <s v="Washington"/>
    <n v="20865"/>
    <n v="390"/>
  </r>
  <r>
    <s v="NE"/>
    <x v="29"/>
    <s v="Wayne"/>
    <n v="9697"/>
    <n v="444"/>
  </r>
  <r>
    <s v="NE"/>
    <x v="29"/>
    <s v="Webster"/>
    <n v="3395"/>
    <n v="575"/>
  </r>
  <r>
    <s v="NE"/>
    <x v="29"/>
    <s v="Wheeler"/>
    <n v="774"/>
    <n v="575"/>
  </r>
  <r>
    <s v="NE"/>
    <x v="29"/>
    <s v="York"/>
    <n v="14125"/>
    <n v="576"/>
  </r>
  <r>
    <s v="NV"/>
    <x v="30"/>
    <s v="Churchill"/>
    <n v="25516"/>
    <n v="4929"/>
  </r>
  <r>
    <s v="NV"/>
    <x v="30"/>
    <s v="Clark"/>
    <n v="2265461"/>
    <n v="7911"/>
  </r>
  <r>
    <s v="NV"/>
    <x v="30"/>
    <s v="Douglas"/>
    <n v="49488"/>
    <n v="710"/>
  </r>
  <r>
    <s v="NV"/>
    <x v="30"/>
    <s v="Elko"/>
    <n v="53702"/>
    <n v="17182"/>
  </r>
  <r>
    <s v="NV"/>
    <x v="30"/>
    <s v="Esmeralda"/>
    <n v="729"/>
    <n v="3589"/>
  </r>
  <r>
    <s v="NV"/>
    <x v="30"/>
    <s v="Eureka"/>
    <n v="1855"/>
    <n v="4176"/>
  </r>
  <r>
    <s v="NV"/>
    <x v="30"/>
    <s v="Humboldt"/>
    <n v="17285"/>
    <n v="9658"/>
  </r>
  <r>
    <s v="NV"/>
    <x v="30"/>
    <s v="Lander"/>
    <n v="5734"/>
    <n v="5798"/>
  </r>
  <r>
    <s v="NV"/>
    <x v="30"/>
    <s v="Lincoln"/>
    <n v="4499"/>
    <n v="10635"/>
  </r>
  <r>
    <s v="NV"/>
    <x v="30"/>
    <s v="Lyon"/>
    <n v="59235"/>
    <n v="1994"/>
  </r>
  <r>
    <s v="NV"/>
    <x v="30"/>
    <s v="Mineral"/>
    <n v="4554"/>
    <n v="3757"/>
  </r>
  <r>
    <s v="NV"/>
    <x v="30"/>
    <s v="Nye"/>
    <n v="51591"/>
    <n v="18147"/>
  </r>
  <r>
    <s v="NV"/>
    <x v="30"/>
    <s v="Pershing"/>
    <n v="6650"/>
    <n v="6009"/>
  </r>
  <r>
    <s v="NV"/>
    <x v="30"/>
    <s v="Storey"/>
    <n v="4104"/>
    <n v="264"/>
  </r>
  <r>
    <s v="NV"/>
    <x v="30"/>
    <s v="Washoe"/>
    <n v="486492"/>
    <n v="6342"/>
  </r>
  <r>
    <s v="NV"/>
    <x v="30"/>
    <s v="White Pine"/>
    <n v="9080"/>
    <n v="8877"/>
  </r>
  <r>
    <s v="NV"/>
    <x v="30"/>
    <s v="Carson City"/>
    <n v="58639"/>
    <n v="144"/>
  </r>
  <r>
    <s v="NH"/>
    <x v="31"/>
    <s v="Belknap"/>
    <n v="63705"/>
    <n v="401"/>
  </r>
  <r>
    <s v="NH"/>
    <x v="31"/>
    <s v="Carroll"/>
    <n v="50107"/>
    <n v="934"/>
  </r>
  <r>
    <s v="NH"/>
    <x v="31"/>
    <s v="Cheshire"/>
    <n v="76458"/>
    <n v="708"/>
  </r>
  <r>
    <s v="NH"/>
    <x v="31"/>
    <s v="Coos"/>
    <n v="31268"/>
    <n v="1801"/>
  </r>
  <r>
    <s v="NH"/>
    <x v="31"/>
    <s v="Grafton"/>
    <n v="91118"/>
    <n v="1714"/>
  </r>
  <r>
    <s v="NH"/>
    <x v="31"/>
    <s v="Hillsborough"/>
    <n v="422937"/>
    <n v="876"/>
  </r>
  <r>
    <s v="NH"/>
    <x v="31"/>
    <s v="Merrimack"/>
    <n v="153808"/>
    <n v="934"/>
  </r>
  <r>
    <s v="NH"/>
    <x v="31"/>
    <s v="Rockingham"/>
    <n v="314176"/>
    <n v="695"/>
  </r>
  <r>
    <s v="NH"/>
    <x v="31"/>
    <s v="Strafford"/>
    <n v="130889"/>
    <n v="369"/>
  </r>
  <r>
    <s v="NH"/>
    <x v="31"/>
    <s v="Sullivan"/>
    <n v="43063"/>
    <n v="537"/>
  </r>
  <r>
    <s v="NJ"/>
    <x v="32"/>
    <s v="Atlantic"/>
    <n v="274534"/>
    <n v="561"/>
  </r>
  <r>
    <s v="NJ"/>
    <x v="32"/>
    <s v="Bergen"/>
    <n v="955732"/>
    <n v="234"/>
  </r>
  <r>
    <s v="NJ"/>
    <x v="32"/>
    <s v="Burlington"/>
    <n v="461860"/>
    <n v="805"/>
  </r>
  <r>
    <s v="NJ"/>
    <x v="32"/>
    <s v="Camden"/>
    <n v="523485"/>
    <n v="222"/>
  </r>
  <r>
    <s v="NJ"/>
    <x v="32"/>
    <s v="Cape May"/>
    <n v="95263"/>
    <n v="255"/>
  </r>
  <r>
    <s v="NJ"/>
    <x v="32"/>
    <s v="Cumberland"/>
    <n v="154152"/>
    <n v="489"/>
  </r>
  <r>
    <s v="NJ"/>
    <x v="32"/>
    <s v="Essex"/>
    <n v="863728"/>
    <n v="126"/>
  </r>
  <r>
    <s v="NJ"/>
    <x v="32"/>
    <s v="Gloucester"/>
    <n v="302294"/>
    <n v="325"/>
  </r>
  <r>
    <s v="NJ"/>
    <x v="32"/>
    <s v="Hudson"/>
    <n v="724854"/>
    <n v="47"/>
  </r>
  <r>
    <s v="NJ"/>
    <x v="32"/>
    <s v="Hunterdon"/>
    <n v="128947"/>
    <n v="430"/>
  </r>
  <r>
    <s v="NJ"/>
    <x v="32"/>
    <s v="Mercer"/>
    <n v="387340"/>
    <n v="226"/>
  </r>
  <r>
    <s v="NJ"/>
    <x v="32"/>
    <s v="Middlesex"/>
    <n v="863162"/>
    <n v="311"/>
  </r>
  <r>
    <s v="NJ"/>
    <x v="32"/>
    <s v="Monmouth"/>
    <n v="643615"/>
    <n v="472"/>
  </r>
  <r>
    <s v="NJ"/>
    <x v="32"/>
    <s v="Morris"/>
    <n v="509285"/>
    <n v="469"/>
  </r>
  <r>
    <s v="NJ"/>
    <x v="32"/>
    <s v="Ocean"/>
    <n v="637229"/>
    <n v="636"/>
  </r>
  <r>
    <s v="NJ"/>
    <x v="32"/>
    <s v="Passaic"/>
    <n v="524118"/>
    <n v="185"/>
  </r>
  <r>
    <s v="NJ"/>
    <x v="32"/>
    <s v="Salem"/>
    <n v="64837"/>
    <n v="338"/>
  </r>
  <r>
    <s v="NJ"/>
    <x v="32"/>
    <s v="Somerset"/>
    <n v="345361"/>
    <n v="305"/>
  </r>
  <r>
    <s v="NJ"/>
    <x v="32"/>
    <s v="Sussex"/>
    <n v="144221"/>
    <n v="521"/>
  </r>
  <r>
    <s v="NJ"/>
    <x v="32"/>
    <s v="Union"/>
    <n v="575345"/>
    <n v="103"/>
  </r>
  <r>
    <s v="NJ"/>
    <x v="32"/>
    <s v="Warren"/>
    <n v="109632"/>
    <n v="358"/>
  </r>
  <r>
    <s v="NM"/>
    <x v="33"/>
    <s v="Bernalillo"/>
    <n v="676444"/>
    <n v="1166"/>
  </r>
  <r>
    <s v="NM"/>
    <x v="33"/>
    <s v="Catron"/>
    <n v="3579"/>
    <n v="6928"/>
  </r>
  <r>
    <s v="NM"/>
    <x v="33"/>
    <s v="Chaves"/>
    <n v="65157"/>
    <n v="6071"/>
  </r>
  <r>
    <s v="NM"/>
    <x v="33"/>
    <s v="Cibola"/>
    <n v="27172"/>
    <n v="4540"/>
  </r>
  <r>
    <s v="NM"/>
    <x v="33"/>
    <s v="Colfax"/>
    <n v="12387"/>
    <n v="3757"/>
  </r>
  <r>
    <s v="NM"/>
    <x v="33"/>
    <s v="Curry"/>
    <n v="48430"/>
    <n v="1406"/>
  </r>
  <r>
    <s v="NM"/>
    <x v="33"/>
    <s v="De Baca"/>
    <n v="1698"/>
    <n v="2325"/>
  </r>
  <r>
    <s v="NM"/>
    <x v="33"/>
    <s v="Doña Ana"/>
    <n v="219561"/>
    <n v="3807"/>
  </r>
  <r>
    <s v="NM"/>
    <x v="33"/>
    <s v="Eddy"/>
    <n v="62314"/>
    <n v="4182"/>
  </r>
  <r>
    <s v="NM"/>
    <x v="33"/>
    <s v="Grant"/>
    <n v="28185"/>
    <n v="3966"/>
  </r>
  <r>
    <s v="NM"/>
    <x v="33"/>
    <s v="Guadalupe"/>
    <n v="4452"/>
    <n v="3031"/>
  </r>
  <r>
    <s v="NM"/>
    <x v="33"/>
    <s v="Harding"/>
    <n v="657"/>
    <n v="2126"/>
  </r>
  <r>
    <s v="NM"/>
    <x v="33"/>
    <s v="Hidalgo"/>
    <n v="4178"/>
    <n v="3446"/>
  </r>
  <r>
    <s v="NM"/>
    <x v="33"/>
    <s v="Lea"/>
    <n v="74455"/>
    <n v="4393"/>
  </r>
  <r>
    <s v="NM"/>
    <x v="33"/>
    <s v="Lincoln"/>
    <n v="20269"/>
    <n v="4831"/>
  </r>
  <r>
    <s v="NM"/>
    <x v="33"/>
    <s v="Los Alamos"/>
    <n v="19419"/>
    <n v="109"/>
  </r>
  <r>
    <s v="NM"/>
    <x v="33"/>
    <s v="Luna"/>
    <n v="25427"/>
    <n v="2965"/>
  </r>
  <r>
    <s v="NM"/>
    <x v="33"/>
    <s v="McKinley"/>
    <n v="72902"/>
    <n v="5449"/>
  </r>
  <r>
    <s v="NM"/>
    <x v="33"/>
    <s v="Mora"/>
    <n v="4189"/>
    <n v="1931"/>
  </r>
  <r>
    <s v="NM"/>
    <x v="33"/>
    <s v="Otero"/>
    <n v="67839"/>
    <n v="6627"/>
  </r>
  <r>
    <s v="NM"/>
    <x v="33"/>
    <s v="Quay"/>
    <n v="8746"/>
    <n v="2855"/>
  </r>
  <r>
    <s v="NM"/>
    <x v="33"/>
    <s v="Rio Arriba"/>
    <n v="40363"/>
    <n v="5858"/>
  </r>
  <r>
    <s v="NM"/>
    <x v="33"/>
    <s v="Roosevelt"/>
    <n v="19191"/>
    <n v="2449"/>
  </r>
  <r>
    <s v="NM"/>
    <x v="33"/>
    <s v="San Juan"/>
    <n v="121661"/>
    <n v="5514"/>
  </r>
  <r>
    <s v="NM"/>
    <x v="33"/>
    <s v="San Miguel"/>
    <n v="27201"/>
    <n v="4717"/>
  </r>
  <r>
    <s v="NM"/>
    <x v="33"/>
    <s v="Sandoval"/>
    <n v="148834"/>
    <n v="3710"/>
  </r>
  <r>
    <s v="NM"/>
    <x v="33"/>
    <s v="Santa Fe"/>
    <n v="154823"/>
    <n v="1909"/>
  </r>
  <r>
    <s v="NM"/>
    <x v="33"/>
    <s v="Sierra"/>
    <n v="11576"/>
    <n v="4180"/>
  </r>
  <r>
    <s v="NM"/>
    <x v="33"/>
    <s v="Socorro"/>
    <n v="16595"/>
    <n v="6647"/>
  </r>
  <r>
    <s v="NM"/>
    <x v="33"/>
    <s v="Taos"/>
    <n v="34489"/>
    <n v="2203"/>
  </r>
  <r>
    <s v="NM"/>
    <x v="33"/>
    <s v="Torrance"/>
    <n v="15045"/>
    <n v="3345"/>
  </r>
  <r>
    <s v="NM"/>
    <x v="33"/>
    <s v="Union"/>
    <n v="4079"/>
    <n v="3830"/>
  </r>
  <r>
    <s v="NM"/>
    <x v="33"/>
    <s v="Valencia"/>
    <n v="76205"/>
    <n v="1068"/>
  </r>
  <r>
    <s v="NY"/>
    <x v="34"/>
    <s v="Albany"/>
    <n v="314848"/>
    <n v="533"/>
  </r>
  <r>
    <s v="NY"/>
    <x v="34"/>
    <s v="Allegany"/>
    <n v="46456"/>
    <n v="1034"/>
  </r>
  <r>
    <s v="NY"/>
    <x v="34"/>
    <s v="Bronx"/>
    <n v="1472654"/>
    <n v="57.43"/>
  </r>
  <r>
    <s v="NY"/>
    <x v="34"/>
    <s v="Broome"/>
    <n v="198683"/>
    <n v="715"/>
  </r>
  <r>
    <s v="NY"/>
    <x v="34"/>
    <s v="Cattaraugus"/>
    <n v="77042"/>
    <n v="1310"/>
  </r>
  <r>
    <s v="NY"/>
    <x v="34"/>
    <s v="Cayuga"/>
    <n v="76248"/>
    <n v="864"/>
  </r>
  <r>
    <s v="NY"/>
    <x v="34"/>
    <s v="Chautauqua"/>
    <n v="127657"/>
    <n v="1500"/>
  </r>
  <r>
    <s v="NY"/>
    <x v="34"/>
    <s v="Chemung"/>
    <n v="84148"/>
    <n v="410.81"/>
  </r>
  <r>
    <s v="NY"/>
    <x v="34"/>
    <s v="Chenango"/>
    <n v="47220"/>
    <n v="898.95"/>
  </r>
  <r>
    <s v="NY"/>
    <x v="34"/>
    <s v="Clinton"/>
    <n v="79843"/>
    <n v="1118"/>
  </r>
  <r>
    <s v="NY"/>
    <x v="34"/>
    <s v="Columbia"/>
    <n v="61570"/>
    <n v="648"/>
  </r>
  <r>
    <s v="NY"/>
    <x v="34"/>
    <s v="Cortland"/>
    <n v="46809"/>
    <n v="502"/>
  </r>
  <r>
    <s v="NY"/>
    <x v="34"/>
    <s v="Delaware"/>
    <n v="44308"/>
    <n v="1468"/>
  </r>
  <r>
    <s v="NY"/>
    <x v="34"/>
    <s v="Dutchess"/>
    <n v="295911"/>
    <n v="825"/>
  </r>
  <r>
    <s v="NY"/>
    <x v="34"/>
    <s v="Erie"/>
    <n v="954236"/>
    <n v="1227"/>
  </r>
  <r>
    <s v="NY"/>
    <x v="34"/>
    <s v="Essex"/>
    <n v="37381"/>
    <n v="1916"/>
  </r>
  <r>
    <s v="NY"/>
    <x v="34"/>
    <s v="Franklin"/>
    <n v="47555"/>
    <n v="1697"/>
  </r>
  <r>
    <s v="NY"/>
    <x v="34"/>
    <s v="Fulton"/>
    <n v="53324"/>
    <n v="533"/>
  </r>
  <r>
    <s v="NY"/>
    <x v="34"/>
    <s v="Genesee"/>
    <n v="58388"/>
    <n v="495"/>
  </r>
  <r>
    <s v="NY"/>
    <x v="34"/>
    <s v="Greene"/>
    <n v="47931"/>
    <n v="658"/>
  </r>
  <r>
    <s v="NY"/>
    <x v="34"/>
    <s v="Hamilton"/>
    <n v="5107"/>
    <n v="1808"/>
  </r>
  <r>
    <s v="NY"/>
    <x v="34"/>
    <s v="Herkimer"/>
    <n v="60139"/>
    <n v="1458"/>
  </r>
  <r>
    <s v="NY"/>
    <x v="34"/>
    <s v="Jefferson"/>
    <n v="116721"/>
    <n v="1857"/>
  </r>
  <r>
    <s v="NY"/>
    <x v="34"/>
    <s v="Kings"/>
    <n v="2736074"/>
    <n v="96.9"/>
  </r>
  <r>
    <s v="NY"/>
    <x v="34"/>
    <s v="Lewis"/>
    <n v="26582"/>
    <n v="1290"/>
  </r>
  <r>
    <s v="NY"/>
    <x v="34"/>
    <s v="Livingston"/>
    <n v="61834"/>
    <n v="640"/>
  </r>
  <r>
    <s v="NY"/>
    <x v="34"/>
    <s v="Madison"/>
    <n v="68016"/>
    <n v="662"/>
  </r>
  <r>
    <s v="NY"/>
    <x v="34"/>
    <s v="Monroe"/>
    <n v="759443"/>
    <n v="1366"/>
  </r>
  <r>
    <s v="NY"/>
    <x v="34"/>
    <s v="Montgomery"/>
    <n v="49532"/>
    <n v="410"/>
  </r>
  <r>
    <s v="NY"/>
    <x v="34"/>
    <s v="Nassau"/>
    <n v="1395774"/>
    <n v="453"/>
  </r>
  <r>
    <s v="NY"/>
    <x v="34"/>
    <s v="New York"/>
    <n v="1694251"/>
    <n v="33.770000000000003"/>
  </r>
  <r>
    <s v="NY"/>
    <x v="34"/>
    <s v="Niagara"/>
    <n v="212666"/>
    <n v="1140"/>
  </r>
  <r>
    <s v="NY"/>
    <x v="34"/>
    <s v="Oneida"/>
    <n v="232125"/>
    <n v="1213"/>
  </r>
  <r>
    <s v="NY"/>
    <x v="34"/>
    <s v="Onondaga"/>
    <n v="476516"/>
    <n v="806"/>
  </r>
  <r>
    <s v="NY"/>
    <x v="34"/>
    <s v="Ontario"/>
    <n v="112458"/>
    <n v="662"/>
  </r>
  <r>
    <s v="NY"/>
    <x v="34"/>
    <s v="Orange"/>
    <n v="401310"/>
    <n v="839"/>
  </r>
  <r>
    <s v="NY"/>
    <x v="34"/>
    <s v="Orleans"/>
    <n v="40343"/>
    <n v="817"/>
  </r>
  <r>
    <s v="NY"/>
    <x v="34"/>
    <s v="Oswego"/>
    <n v="117525"/>
    <n v="1312"/>
  </r>
  <r>
    <s v="NY"/>
    <x v="34"/>
    <s v="Otsego"/>
    <n v="58524"/>
    <n v="1003"/>
  </r>
  <r>
    <s v="NY"/>
    <x v="34"/>
    <s v="Putnam"/>
    <n v="97668"/>
    <n v="246"/>
  </r>
  <r>
    <s v="NY"/>
    <x v="34"/>
    <s v="Queens"/>
    <n v="2405464"/>
    <n v="178.28"/>
  </r>
  <r>
    <s v="NY"/>
    <x v="34"/>
    <s v="Rensselaer"/>
    <n v="161130"/>
    <n v="665"/>
  </r>
  <r>
    <s v="NY"/>
    <x v="34"/>
    <s v="Richmond"/>
    <n v="495747"/>
    <n v="102.5"/>
  </r>
  <r>
    <s v="NY"/>
    <x v="34"/>
    <s v="Rockland"/>
    <n v="338329"/>
    <n v="199"/>
  </r>
  <r>
    <s v="NY"/>
    <x v="34"/>
    <s v="St. Lawrence"/>
    <n v="108505"/>
    <n v="2821"/>
  </r>
  <r>
    <s v="NY"/>
    <x v="34"/>
    <s v="Saratoga"/>
    <n v="235509"/>
    <n v="844"/>
  </r>
  <r>
    <s v="NY"/>
    <x v="34"/>
    <s v="Schenectady"/>
    <n v="158061"/>
    <n v="210"/>
  </r>
  <r>
    <s v="NY"/>
    <x v="34"/>
    <s v="Schoharie"/>
    <n v="29714"/>
    <n v="626"/>
  </r>
  <r>
    <s v="NY"/>
    <x v="34"/>
    <s v="Schuyler"/>
    <n v="17898"/>
    <n v="342"/>
  </r>
  <r>
    <s v="NY"/>
    <x v="34"/>
    <s v="Seneca"/>
    <n v="33814"/>
    <n v="325"/>
  </r>
  <r>
    <s v="NY"/>
    <x v="34"/>
    <s v="Steuben"/>
    <n v="93584"/>
    <n v="1404"/>
  </r>
  <r>
    <s v="NY"/>
    <x v="34"/>
    <s v="Suffolk"/>
    <n v="1525920"/>
    <n v="2373"/>
  </r>
  <r>
    <s v="NY"/>
    <x v="34"/>
    <s v="Sullivan"/>
    <n v="78624"/>
    <n v="997"/>
  </r>
  <r>
    <s v="NY"/>
    <x v="34"/>
    <s v="Tioga"/>
    <n v="48455"/>
    <n v="523"/>
  </r>
  <r>
    <s v="NY"/>
    <x v="34"/>
    <s v="Tompkins"/>
    <n v="105740"/>
    <n v="476"/>
  </r>
  <r>
    <s v="NY"/>
    <x v="34"/>
    <s v="Ulster"/>
    <n v="181851"/>
    <n v="1161"/>
  </r>
  <r>
    <s v="NY"/>
    <x v="34"/>
    <s v="Warren"/>
    <n v="65737"/>
    <n v="870"/>
  </r>
  <r>
    <s v="NY"/>
    <x v="34"/>
    <s v="Washington"/>
    <n v="61302"/>
    <n v="846"/>
  </r>
  <r>
    <s v="NY"/>
    <x v="34"/>
    <s v="Wayne"/>
    <n v="91283"/>
    <n v="1384"/>
  </r>
  <r>
    <s v="NY"/>
    <x v="34"/>
    <s v="Westchester"/>
    <n v="1004457"/>
    <n v="500"/>
  </r>
  <r>
    <s v="NY"/>
    <x v="34"/>
    <s v="Wyoming"/>
    <n v="40531"/>
    <n v="596"/>
  </r>
  <r>
    <s v="NY"/>
    <x v="34"/>
    <s v="Yates"/>
    <n v="24774"/>
    <n v="376"/>
  </r>
  <r>
    <s v="NC"/>
    <x v="35"/>
    <s v="Alamance"/>
    <n v="171415"/>
    <n v="435"/>
  </r>
  <r>
    <s v="NC"/>
    <x v="35"/>
    <s v="Alexander"/>
    <n v="36444"/>
    <n v="263"/>
  </r>
  <r>
    <s v="NC"/>
    <x v="35"/>
    <s v="Alleghany"/>
    <n v="10888"/>
    <n v="236"/>
  </r>
  <r>
    <s v="NC"/>
    <x v="35"/>
    <s v="Anson"/>
    <n v="22055"/>
    <n v="537"/>
  </r>
  <r>
    <s v="NC"/>
    <x v="35"/>
    <s v="Ashe"/>
    <n v="26577"/>
    <n v="427"/>
  </r>
  <r>
    <s v="NC"/>
    <x v="35"/>
    <s v="Avery"/>
    <n v="17806"/>
    <n v="247"/>
  </r>
  <r>
    <s v="NC"/>
    <x v="35"/>
    <s v="Beaufort"/>
    <n v="44652"/>
    <n v="959"/>
  </r>
  <r>
    <s v="NC"/>
    <x v="35"/>
    <s v="Bertie"/>
    <n v="17934"/>
    <n v="741"/>
  </r>
  <r>
    <s v="NC"/>
    <x v="35"/>
    <s v="Bladen"/>
    <n v="29606"/>
    <n v="887"/>
  </r>
  <r>
    <s v="NC"/>
    <x v="35"/>
    <s v="Brunswick"/>
    <n v="136693"/>
    <n v="860"/>
  </r>
  <r>
    <s v="NC"/>
    <x v="35"/>
    <s v="Buncombe"/>
    <n v="269452"/>
    <n v="660"/>
  </r>
  <r>
    <s v="NC"/>
    <x v="35"/>
    <s v="Burke"/>
    <n v="87570"/>
    <n v="515"/>
  </r>
  <r>
    <s v="NC"/>
    <x v="35"/>
    <s v="Cabarrus"/>
    <n v="225804"/>
    <n v="365"/>
  </r>
  <r>
    <s v="NC"/>
    <x v="35"/>
    <s v="Caldwell"/>
    <n v="80652"/>
    <n v="474"/>
  </r>
  <r>
    <s v="NC"/>
    <x v="35"/>
    <s v="Camden"/>
    <n v="10355"/>
    <n v="306"/>
  </r>
  <r>
    <s v="NC"/>
    <x v="35"/>
    <s v="Carteret"/>
    <n v="67686"/>
    <n v="1341"/>
  </r>
  <r>
    <s v="NC"/>
    <x v="35"/>
    <s v="Caswell"/>
    <n v="22736"/>
    <n v="428"/>
  </r>
  <r>
    <s v="NC"/>
    <x v="35"/>
    <s v="Catawba"/>
    <n v="160610"/>
    <n v="414"/>
  </r>
  <r>
    <s v="NC"/>
    <x v="35"/>
    <s v="Chatham"/>
    <n v="76285"/>
    <n v="709"/>
  </r>
  <r>
    <s v="NC"/>
    <x v="35"/>
    <s v="Cherokee"/>
    <n v="28774"/>
    <n v="497"/>
  </r>
  <r>
    <s v="NC"/>
    <x v="35"/>
    <s v="Chowan"/>
    <n v="13708"/>
    <n v="233"/>
  </r>
  <r>
    <s v="NC"/>
    <x v="35"/>
    <s v="Clay"/>
    <n v="11089"/>
    <n v="221"/>
  </r>
  <r>
    <s v="NC"/>
    <x v="35"/>
    <s v="Cleveland"/>
    <n v="99519"/>
    <n v="469"/>
  </r>
  <r>
    <s v="NC"/>
    <x v="35"/>
    <s v="Columbus"/>
    <n v="50623"/>
    <n v="954"/>
  </r>
  <r>
    <s v="NC"/>
    <x v="35"/>
    <s v="Craven"/>
    <n v="100720"/>
    <n v="774"/>
  </r>
  <r>
    <s v="NC"/>
    <x v="35"/>
    <s v="Cumberland"/>
    <n v="334728"/>
    <n v="658"/>
  </r>
  <r>
    <s v="NC"/>
    <x v="35"/>
    <s v="Currituck"/>
    <n v="28100"/>
    <n v="526"/>
  </r>
  <r>
    <s v="NC"/>
    <x v="35"/>
    <s v="Dare"/>
    <n v="36915"/>
    <n v="1562"/>
  </r>
  <r>
    <s v="NC"/>
    <x v="35"/>
    <s v="Davidson"/>
    <n v="168930"/>
    <n v="567"/>
  </r>
  <r>
    <s v="NC"/>
    <x v="35"/>
    <s v="Davie"/>
    <n v="42712"/>
    <n v="267"/>
  </r>
  <r>
    <s v="NC"/>
    <x v="35"/>
    <s v="Duplin"/>
    <n v="48715"/>
    <n v="819"/>
  </r>
  <r>
    <s v="NC"/>
    <x v="35"/>
    <s v="Durham"/>
    <n v="324833"/>
    <n v="298"/>
  </r>
  <r>
    <s v="NC"/>
    <x v="35"/>
    <s v="Edgecombe"/>
    <n v="48900"/>
    <n v="507"/>
  </r>
  <r>
    <s v="NC"/>
    <x v="35"/>
    <s v="Forsyth"/>
    <n v="382590"/>
    <n v="413"/>
  </r>
  <r>
    <s v="NC"/>
    <x v="35"/>
    <s v="Franklin"/>
    <n v="68573"/>
    <n v="495"/>
  </r>
  <r>
    <s v="NC"/>
    <x v="35"/>
    <s v="Gaston"/>
    <n v="227943"/>
    <n v="364"/>
  </r>
  <r>
    <s v="NC"/>
    <x v="35"/>
    <s v="Gates"/>
    <n v="10478"/>
    <n v="346"/>
  </r>
  <r>
    <s v="NC"/>
    <x v="35"/>
    <s v="Graham"/>
    <n v="8030"/>
    <n v="302"/>
  </r>
  <r>
    <s v="NC"/>
    <x v="35"/>
    <s v="Granville"/>
    <n v="60992"/>
    <n v="537"/>
  </r>
  <r>
    <s v="NC"/>
    <x v="35"/>
    <s v="Greene"/>
    <n v="20451"/>
    <n v="266"/>
  </r>
  <r>
    <s v="NC"/>
    <x v="35"/>
    <s v="Guilford"/>
    <n v="541299"/>
    <n v="658"/>
  </r>
  <r>
    <s v="NC"/>
    <x v="35"/>
    <s v="Halifax"/>
    <n v="48622"/>
    <n v="731"/>
  </r>
  <r>
    <s v="NC"/>
    <x v="35"/>
    <s v="Harnett"/>
    <n v="133568"/>
    <n v="601"/>
  </r>
  <r>
    <s v="NC"/>
    <x v="35"/>
    <s v="Haywood"/>
    <n v="62089"/>
    <n v="555"/>
  </r>
  <r>
    <s v="NC"/>
    <x v="35"/>
    <s v="Henderson"/>
    <n v="116281"/>
    <n v="375"/>
  </r>
  <r>
    <s v="NC"/>
    <x v="35"/>
    <s v="Hertford"/>
    <n v="21552"/>
    <n v="360"/>
  </r>
  <r>
    <s v="NC"/>
    <x v="35"/>
    <s v="Hoke"/>
    <n v="52082"/>
    <n v="392"/>
  </r>
  <r>
    <s v="NC"/>
    <x v="35"/>
    <s v="Hyde"/>
    <n v="4589"/>
    <n v="1424"/>
  </r>
  <r>
    <s v="NC"/>
    <x v="35"/>
    <s v="Iredell"/>
    <n v="186693"/>
    <n v="597"/>
  </r>
  <r>
    <s v="NC"/>
    <x v="35"/>
    <s v="Jackson"/>
    <n v="43109"/>
    <n v="494"/>
  </r>
  <r>
    <s v="NC"/>
    <x v="35"/>
    <s v="Johnston"/>
    <n v="215999"/>
    <n v="796"/>
  </r>
  <r>
    <s v="NC"/>
    <x v="35"/>
    <s v="Jones"/>
    <n v="9172"/>
    <n v="473"/>
  </r>
  <r>
    <s v="NC"/>
    <x v="35"/>
    <s v="Lee"/>
    <n v="63285"/>
    <n v="259"/>
  </r>
  <r>
    <s v="NC"/>
    <x v="35"/>
    <s v="Lenoir"/>
    <n v="55122"/>
    <n v="402"/>
  </r>
  <r>
    <s v="NC"/>
    <x v="35"/>
    <s v="Lincoln"/>
    <n v="86810"/>
    <n v="307"/>
  </r>
  <r>
    <s v="NC"/>
    <x v="35"/>
    <s v="Macon"/>
    <n v="37014"/>
    <n v="452"/>
  </r>
  <r>
    <s v="NC"/>
    <x v="35"/>
    <s v="Madison"/>
    <n v="21193"/>
    <n v="461"/>
  </r>
  <r>
    <s v="NC"/>
    <x v="35"/>
    <s v="Martin"/>
    <n v="22031"/>
    <n v="446"/>
  </r>
  <r>
    <s v="NC"/>
    <x v="35"/>
    <s v="McDowell"/>
    <n v="44578"/>
    <n v="519"/>
  </r>
  <r>
    <s v="NC"/>
    <x v="35"/>
    <s v="Mecklenburg"/>
    <n v="1115482"/>
    <n v="546"/>
  </r>
  <r>
    <s v="NC"/>
    <x v="35"/>
    <s v="Mitchell"/>
    <n v="14903"/>
    <n v="222"/>
  </r>
  <r>
    <s v="NC"/>
    <x v="35"/>
    <s v="Montgomery"/>
    <n v="25751"/>
    <n v="502"/>
  </r>
  <r>
    <s v="NC"/>
    <x v="35"/>
    <s v="Moore"/>
    <n v="99727"/>
    <n v="706"/>
  </r>
  <r>
    <s v="NC"/>
    <x v="35"/>
    <s v="Nash"/>
    <n v="94970"/>
    <n v="543"/>
  </r>
  <r>
    <s v="NC"/>
    <x v="35"/>
    <s v="New Hanover"/>
    <n v="225702"/>
    <n v="328"/>
  </r>
  <r>
    <s v="NC"/>
    <x v="35"/>
    <s v="Northampton"/>
    <n v="17471"/>
    <n v="551"/>
  </r>
  <r>
    <s v="NC"/>
    <x v="35"/>
    <s v="Onslow"/>
    <n v="204576"/>
    <n v="909"/>
  </r>
  <r>
    <s v="NC"/>
    <x v="35"/>
    <s v="Orange"/>
    <n v="148696"/>
    <n v="401"/>
  </r>
  <r>
    <s v="NC"/>
    <x v="35"/>
    <s v="Pamlico"/>
    <n v="12276"/>
    <n v="566"/>
  </r>
  <r>
    <s v="NC"/>
    <x v="35"/>
    <s v="Pasquotank"/>
    <n v="40568"/>
    <n v="289"/>
  </r>
  <r>
    <s v="NC"/>
    <x v="35"/>
    <s v="Pender"/>
    <n v="60203"/>
    <n v="933"/>
  </r>
  <r>
    <s v="NC"/>
    <x v="35"/>
    <s v="Perquimans"/>
    <n v="13005"/>
    <n v="329"/>
  </r>
  <r>
    <s v="NC"/>
    <x v="35"/>
    <s v="Person"/>
    <n v="39097"/>
    <n v="404"/>
  </r>
  <r>
    <s v="NC"/>
    <x v="35"/>
    <s v="Pitt"/>
    <n v="170243"/>
    <n v="655"/>
  </r>
  <r>
    <s v="NC"/>
    <x v="35"/>
    <s v="Polk"/>
    <n v="19328"/>
    <n v="239"/>
  </r>
  <r>
    <s v="NC"/>
    <x v="35"/>
    <s v="Randolph"/>
    <n v="144171"/>
    <n v="790"/>
  </r>
  <r>
    <s v="NC"/>
    <x v="35"/>
    <s v="Richmond"/>
    <n v="42946"/>
    <n v="480"/>
  </r>
  <r>
    <s v="NC"/>
    <x v="35"/>
    <s v="Robeson"/>
    <n v="116530"/>
    <n v="951"/>
  </r>
  <r>
    <s v="NC"/>
    <x v="35"/>
    <s v="Rockingham"/>
    <n v="91096"/>
    <n v="572"/>
  </r>
  <r>
    <s v="NC"/>
    <x v="35"/>
    <s v="Rowan"/>
    <n v="146875"/>
    <n v="524"/>
  </r>
  <r>
    <s v="NC"/>
    <x v="35"/>
    <s v="Rutherford"/>
    <n v="64444"/>
    <n v="566"/>
  </r>
  <r>
    <s v="NC"/>
    <x v="35"/>
    <s v="Sampson"/>
    <n v="59036"/>
    <n v="947"/>
  </r>
  <r>
    <s v="NC"/>
    <x v="35"/>
    <s v="Scotland"/>
    <n v="34174"/>
    <n v="321"/>
  </r>
  <r>
    <s v="NC"/>
    <x v="35"/>
    <s v="Stanly"/>
    <n v="62504"/>
    <n v="404"/>
  </r>
  <r>
    <s v="NC"/>
    <x v="35"/>
    <s v="Stokes"/>
    <n v="44520"/>
    <n v="456"/>
  </r>
  <r>
    <s v="NC"/>
    <x v="35"/>
    <s v="Surry"/>
    <n v="71359"/>
    <n v="538"/>
  </r>
  <r>
    <s v="NC"/>
    <x v="35"/>
    <s v="Swain"/>
    <n v="14117"/>
    <n v="541"/>
  </r>
  <r>
    <s v="NC"/>
    <x v="35"/>
    <s v="Transylvania"/>
    <n v="32986"/>
    <n v="381"/>
  </r>
  <r>
    <s v="NC"/>
    <x v="35"/>
    <s v="Tyrrell"/>
    <n v="3245"/>
    <n v="600"/>
  </r>
  <r>
    <s v="NC"/>
    <x v="35"/>
    <s v="Union"/>
    <n v="238267"/>
    <n v="640"/>
  </r>
  <r>
    <s v="NC"/>
    <x v="35"/>
    <s v="Vance"/>
    <n v="42578"/>
    <n v="270"/>
  </r>
  <r>
    <s v="NC"/>
    <x v="35"/>
    <s v="Wake"/>
    <n v="1129410"/>
    <n v="857"/>
  </r>
  <r>
    <s v="NC"/>
    <x v="35"/>
    <s v="Warren"/>
    <n v="18642"/>
    <n v="444"/>
  </r>
  <r>
    <s v="NC"/>
    <x v="35"/>
    <s v="Washington"/>
    <n v="11003"/>
    <n v="424"/>
  </r>
  <r>
    <s v="NC"/>
    <x v="35"/>
    <s v="Watauga"/>
    <n v="54086"/>
    <n v="313"/>
  </r>
  <r>
    <s v="NC"/>
    <x v="35"/>
    <s v="Wayne"/>
    <n v="117333"/>
    <n v="557"/>
  </r>
  <r>
    <s v="NC"/>
    <x v="35"/>
    <s v="Wilkes"/>
    <n v="65969"/>
    <n v="760"/>
  </r>
  <r>
    <s v="NC"/>
    <x v="35"/>
    <s v="Wilson"/>
    <n v="78784"/>
    <n v="374"/>
  </r>
  <r>
    <s v="NC"/>
    <x v="35"/>
    <s v="Yadkin"/>
    <n v="37214"/>
    <n v="337"/>
  </r>
  <r>
    <s v="NC"/>
    <x v="35"/>
    <s v="Yancey"/>
    <n v="18470"/>
    <n v="313"/>
  </r>
  <r>
    <s v="ND"/>
    <x v="36"/>
    <s v="Adams"/>
    <n v="2200"/>
    <n v="988"/>
  </r>
  <r>
    <s v="ND"/>
    <x v="36"/>
    <s v="Barnes"/>
    <n v="10853"/>
    <n v="1492"/>
  </r>
  <r>
    <s v="ND"/>
    <x v="36"/>
    <s v="Benson"/>
    <n v="5964"/>
    <n v="1389"/>
  </r>
  <r>
    <s v="ND"/>
    <x v="36"/>
    <s v="Billings"/>
    <n v="945"/>
    <n v="1152"/>
  </r>
  <r>
    <s v="ND"/>
    <x v="36"/>
    <s v="Bottineau"/>
    <n v="6379"/>
    <n v="1669"/>
  </r>
  <r>
    <s v="ND"/>
    <x v="36"/>
    <s v="Bowman"/>
    <n v="2993"/>
    <n v="1162"/>
  </r>
  <r>
    <s v="ND"/>
    <x v="36"/>
    <s v="Burke"/>
    <n v="2201"/>
    <n v="1104"/>
  </r>
  <r>
    <s v="ND"/>
    <x v="36"/>
    <s v="Burleigh"/>
    <n v="98458"/>
    <n v="1633"/>
  </r>
  <r>
    <s v="ND"/>
    <x v="36"/>
    <s v="Cass"/>
    <n v="184525"/>
    <n v="1766"/>
  </r>
  <r>
    <s v="ND"/>
    <x v="36"/>
    <s v="Cavalier"/>
    <n v="3704"/>
    <n v="1489"/>
  </r>
  <r>
    <s v="ND"/>
    <x v="36"/>
    <s v="Dickey"/>
    <n v="4999"/>
    <n v="1131"/>
  </r>
  <r>
    <s v="ND"/>
    <x v="36"/>
    <s v="Divide"/>
    <n v="2195"/>
    <n v="1259"/>
  </r>
  <r>
    <s v="ND"/>
    <x v="36"/>
    <s v="Dunn"/>
    <n v="4095"/>
    <n v="2010"/>
  </r>
  <r>
    <s v="ND"/>
    <x v="36"/>
    <s v="Eddy"/>
    <n v="2347"/>
    <n v="632"/>
  </r>
  <r>
    <s v="ND"/>
    <x v="36"/>
    <s v="Emmons"/>
    <n v="3301"/>
    <n v="1510"/>
  </r>
  <r>
    <s v="ND"/>
    <x v="36"/>
    <s v="Foster"/>
    <n v="3397"/>
    <n v="635"/>
  </r>
  <r>
    <s v="ND"/>
    <x v="36"/>
    <s v="Golden Valley"/>
    <n v="1736"/>
    <n v="1002"/>
  </r>
  <r>
    <s v="ND"/>
    <x v="36"/>
    <s v="Grand Forks"/>
    <n v="73170"/>
    <n v="1438"/>
  </r>
  <r>
    <s v="ND"/>
    <x v="36"/>
    <s v="Grant"/>
    <n v="2301"/>
    <n v="1660"/>
  </r>
  <r>
    <s v="ND"/>
    <x v="36"/>
    <s v="Griggs"/>
    <n v="2306"/>
    <n v="708"/>
  </r>
  <r>
    <s v="ND"/>
    <x v="36"/>
    <s v="Hettinger"/>
    <n v="2489"/>
    <n v="1132"/>
  </r>
  <r>
    <s v="ND"/>
    <x v="36"/>
    <s v="Kidder"/>
    <n v="2394"/>
    <n v="1352"/>
  </r>
  <r>
    <s v="ND"/>
    <x v="36"/>
    <s v="LaMoure"/>
    <n v="4093"/>
    <n v="1147"/>
  </r>
  <r>
    <s v="ND"/>
    <x v="36"/>
    <s v="Logan"/>
    <n v="1876"/>
    <n v="993"/>
  </r>
  <r>
    <s v="ND"/>
    <x v="36"/>
    <s v="McHenry"/>
    <n v="5345"/>
    <n v="1874"/>
  </r>
  <r>
    <s v="ND"/>
    <x v="36"/>
    <s v="McIntosh"/>
    <n v="2530"/>
    <n v="975"/>
  </r>
  <r>
    <s v="ND"/>
    <x v="36"/>
    <s v="McKenzie"/>
    <n v="14704"/>
    <n v="2742"/>
  </r>
  <r>
    <s v="ND"/>
    <x v="36"/>
    <s v="McLean"/>
    <n v="9771"/>
    <n v="2110"/>
  </r>
  <r>
    <s v="ND"/>
    <x v="36"/>
    <s v="Mercer"/>
    <n v="8350"/>
    <n v="1045"/>
  </r>
  <r>
    <s v="ND"/>
    <x v="36"/>
    <s v="Morton"/>
    <n v="33291"/>
    <n v="1926"/>
  </r>
  <r>
    <s v="ND"/>
    <x v="36"/>
    <s v="Mountrail"/>
    <n v="9809"/>
    <n v="1824"/>
  </r>
  <r>
    <s v="ND"/>
    <x v="36"/>
    <s v="Nelson"/>
    <n v="3015"/>
    <n v="982"/>
  </r>
  <r>
    <s v="ND"/>
    <x v="36"/>
    <s v="Oliver"/>
    <n v="1877"/>
    <n v="724"/>
  </r>
  <r>
    <s v="ND"/>
    <x v="36"/>
    <s v="Pembina"/>
    <n v="6844"/>
    <n v="1119"/>
  </r>
  <r>
    <s v="ND"/>
    <x v="36"/>
    <s v="Pierce"/>
    <n v="3990"/>
    <n v="1018"/>
  </r>
  <r>
    <s v="ND"/>
    <x v="36"/>
    <s v="Ramsey"/>
    <n v="11605"/>
    <n v="1186"/>
  </r>
  <r>
    <s v="ND"/>
    <x v="36"/>
    <s v="Ransom"/>
    <n v="5703"/>
    <n v="863"/>
  </r>
  <r>
    <s v="ND"/>
    <x v="36"/>
    <s v="Renville"/>
    <n v="2282"/>
    <n v="875"/>
  </r>
  <r>
    <s v="ND"/>
    <x v="36"/>
    <s v="Richland"/>
    <n v="16529"/>
    <n v="1437"/>
  </r>
  <r>
    <s v="ND"/>
    <x v="36"/>
    <s v="Rolette"/>
    <n v="12187"/>
    <n v="902"/>
  </r>
  <r>
    <s v="ND"/>
    <x v="36"/>
    <s v="Sargent"/>
    <n v="3862"/>
    <n v="859"/>
  </r>
  <r>
    <s v="ND"/>
    <x v="36"/>
    <s v="Sheridan"/>
    <n v="1265"/>
    <n v="972"/>
  </r>
  <r>
    <s v="ND"/>
    <x v="36"/>
    <s v="Sioux"/>
    <n v="3898"/>
    <n v="1094"/>
  </r>
  <r>
    <s v="ND"/>
    <x v="36"/>
    <s v="Slope"/>
    <n v="706"/>
    <n v="1218"/>
  </r>
  <r>
    <s v="ND"/>
    <x v="36"/>
    <s v="Stark"/>
    <n v="33646"/>
    <n v="1338"/>
  </r>
  <r>
    <s v="ND"/>
    <x v="36"/>
    <s v="Steele"/>
    <n v="1798"/>
    <n v="712"/>
  </r>
  <r>
    <s v="ND"/>
    <x v="36"/>
    <s v="Stutsman"/>
    <n v="21593"/>
    <n v="2222"/>
  </r>
  <r>
    <s v="ND"/>
    <x v="36"/>
    <s v="Towner"/>
    <n v="2162"/>
    <n v="1025"/>
  </r>
  <r>
    <s v="ND"/>
    <x v="36"/>
    <s v="Traill"/>
    <n v="7997"/>
    <n v="862"/>
  </r>
  <r>
    <s v="ND"/>
    <x v="36"/>
    <s v="Walsh"/>
    <n v="10563"/>
    <n v="1282"/>
  </r>
  <r>
    <s v="ND"/>
    <x v="36"/>
    <s v="Ward"/>
    <n v="69919"/>
    <n v="2013"/>
  </r>
  <r>
    <s v="ND"/>
    <x v="36"/>
    <s v="Wells"/>
    <n v="3982"/>
    <n v="1271"/>
  </r>
  <r>
    <s v="ND"/>
    <x v="36"/>
    <s v="Williams"/>
    <n v="40950"/>
    <n v="2071"/>
  </r>
  <r>
    <s v="MP"/>
    <x v="37"/>
    <s v="Northern Islands"/>
    <n v="0"/>
    <n v="59.75"/>
  </r>
  <r>
    <s v="MP"/>
    <x v="37"/>
    <s v="Rota"/>
    <n v="2477"/>
    <n v="32.97"/>
  </r>
  <r>
    <s v="MP"/>
    <x v="37"/>
    <s v="Saipan"/>
    <n v="48220"/>
    <n v="44.55"/>
  </r>
  <r>
    <s v="MP"/>
    <x v="37"/>
    <s v="Tinian"/>
    <n v="3136"/>
    <n v="39"/>
  </r>
  <r>
    <s v="OH"/>
    <x v="38"/>
    <s v="Adams"/>
    <n v="27477"/>
    <n v="583.91"/>
  </r>
  <r>
    <s v="OH"/>
    <x v="38"/>
    <s v="Allen"/>
    <n v="102206"/>
    <n v="404.43"/>
  </r>
  <r>
    <s v="OH"/>
    <x v="38"/>
    <s v="Ashland"/>
    <n v="52447"/>
    <n v="424.37"/>
  </r>
  <r>
    <s v="OH"/>
    <x v="38"/>
    <s v="Ashtabula"/>
    <n v="97574"/>
    <n v="702.44"/>
  </r>
  <r>
    <s v="OH"/>
    <x v="38"/>
    <s v="Athens"/>
    <n v="62431"/>
    <n v="506.76"/>
  </r>
  <r>
    <s v="OH"/>
    <x v="38"/>
    <s v="Auglaize"/>
    <n v="46422"/>
    <n v="401.25"/>
  </r>
  <r>
    <s v="OH"/>
    <x v="38"/>
    <s v="Belmont"/>
    <n v="66497"/>
    <n v="537.35"/>
  </r>
  <r>
    <s v="OH"/>
    <x v="38"/>
    <s v="Brown"/>
    <n v="43676"/>
    <n v="491.76"/>
  </r>
  <r>
    <s v="OH"/>
    <x v="38"/>
    <s v="Butler"/>
    <n v="390357"/>
    <n v="467.27"/>
  </r>
  <r>
    <s v="OH"/>
    <x v="38"/>
    <s v="Carroll"/>
    <n v="26721"/>
    <n v="394.67"/>
  </r>
  <r>
    <s v="OH"/>
    <x v="38"/>
    <s v="Champaign"/>
    <n v="38714"/>
    <n v="428.56"/>
  </r>
  <r>
    <s v="OH"/>
    <x v="38"/>
    <s v="Clark"/>
    <n v="136001"/>
    <n v="399.86"/>
  </r>
  <r>
    <s v="OH"/>
    <x v="38"/>
    <s v="Clermont"/>
    <n v="208601"/>
    <n v="451.99"/>
  </r>
  <r>
    <s v="OH"/>
    <x v="38"/>
    <s v="Clinton"/>
    <n v="42018"/>
    <n v="410.88"/>
  </r>
  <r>
    <s v="OH"/>
    <x v="38"/>
    <s v="Columbiana"/>
    <n v="101877"/>
    <n v="532.46"/>
  </r>
  <r>
    <s v="OH"/>
    <x v="38"/>
    <s v="Coshocton"/>
    <n v="36612"/>
    <n v="564.07000000000005"/>
  </r>
  <r>
    <s v="OH"/>
    <x v="38"/>
    <s v="Crawford"/>
    <n v="42025"/>
    <n v="402.11"/>
  </r>
  <r>
    <s v="OH"/>
    <x v="38"/>
    <s v="Cuyahoga"/>
    <n v="1264817"/>
    <n v="458.49"/>
  </r>
  <r>
    <s v="OH"/>
    <x v="38"/>
    <s v="Darke"/>
    <n v="51881"/>
    <n v="599.79999999999995"/>
  </r>
  <r>
    <s v="OH"/>
    <x v="38"/>
    <s v="Defiance"/>
    <n v="38286"/>
    <n v="411.16"/>
  </r>
  <r>
    <s v="OH"/>
    <x v="38"/>
    <s v="Delaware"/>
    <n v="214124"/>
    <n v="442.41"/>
  </r>
  <r>
    <s v="OH"/>
    <x v="38"/>
    <s v="Erie"/>
    <n v="75622"/>
    <n v="254.88"/>
  </r>
  <r>
    <s v="OH"/>
    <x v="38"/>
    <s v="Fairfield"/>
    <n v="158921"/>
    <n v="505.11"/>
  </r>
  <r>
    <s v="OH"/>
    <x v="38"/>
    <s v="Fayette"/>
    <n v="28951"/>
    <n v="406.58"/>
  </r>
  <r>
    <s v="OH"/>
    <x v="38"/>
    <s v="Franklin"/>
    <n v="1323807"/>
    <n v="539.87"/>
  </r>
  <r>
    <s v="OH"/>
    <x v="38"/>
    <s v="Fulton"/>
    <n v="42713"/>
    <n v="406.78"/>
  </r>
  <r>
    <s v="OH"/>
    <x v="38"/>
    <s v="Gallia"/>
    <n v="29220"/>
    <n v="468.78"/>
  </r>
  <r>
    <s v="OH"/>
    <x v="38"/>
    <s v="Geauga"/>
    <n v="95397"/>
    <n v="403.66"/>
  </r>
  <r>
    <s v="OH"/>
    <x v="38"/>
    <s v="Greene"/>
    <n v="167966"/>
    <n v="414.88"/>
  </r>
  <r>
    <s v="OH"/>
    <x v="38"/>
    <s v="Guernsey"/>
    <n v="38438"/>
    <n v="521.9"/>
  </r>
  <r>
    <s v="OH"/>
    <x v="38"/>
    <s v="Hamilton"/>
    <n v="830639"/>
    <n v="407.36"/>
  </r>
  <r>
    <s v="OH"/>
    <x v="38"/>
    <s v="Hancock"/>
    <n v="74920"/>
    <n v="531.35"/>
  </r>
  <r>
    <s v="OH"/>
    <x v="38"/>
    <s v="Hardin"/>
    <n v="30696"/>
    <n v="470.29"/>
  </r>
  <r>
    <s v="OH"/>
    <x v="38"/>
    <s v="Harrison"/>
    <n v="14483"/>
    <n v="403.53"/>
  </r>
  <r>
    <s v="OH"/>
    <x v="38"/>
    <s v="Henry"/>
    <n v="27662"/>
    <n v="416.5"/>
  </r>
  <r>
    <s v="OH"/>
    <x v="38"/>
    <s v="Highland"/>
    <n v="43317"/>
    <n v="553.28"/>
  </r>
  <r>
    <s v="OH"/>
    <x v="38"/>
    <s v="Hocking"/>
    <n v="28050"/>
    <n v="422.75"/>
  </r>
  <r>
    <s v="OH"/>
    <x v="38"/>
    <s v="Holmes"/>
    <n v="44223"/>
    <n v="422.99"/>
  </r>
  <r>
    <s v="OH"/>
    <x v="38"/>
    <s v="Huron"/>
    <n v="58565"/>
    <n v="429.69"/>
  </r>
  <r>
    <s v="OH"/>
    <x v="38"/>
    <s v="Jackson"/>
    <n v="32653"/>
    <n v="420.28"/>
  </r>
  <r>
    <s v="OH"/>
    <x v="38"/>
    <s v="Jefferson"/>
    <n v="65249"/>
    <n v="409.61"/>
  </r>
  <r>
    <s v="OH"/>
    <x v="38"/>
    <s v="Knox"/>
    <n v="62721"/>
    <n v="527.12"/>
  </r>
  <r>
    <s v="OH"/>
    <x v="38"/>
    <s v="Lake"/>
    <n v="232603"/>
    <n v="228.21"/>
  </r>
  <r>
    <s v="OH"/>
    <x v="38"/>
    <s v="Lawrence"/>
    <n v="58240"/>
    <n v="454.96"/>
  </r>
  <r>
    <s v="OH"/>
    <x v="38"/>
    <s v="Licking"/>
    <n v="178519"/>
    <n v="686.5"/>
  </r>
  <r>
    <s v="OH"/>
    <x v="38"/>
    <s v="Logan"/>
    <n v="46150"/>
    <n v="458.44"/>
  </r>
  <r>
    <s v="OH"/>
    <x v="38"/>
    <s v="Lorain"/>
    <n v="312964"/>
    <n v="492.5"/>
  </r>
  <r>
    <s v="OH"/>
    <x v="38"/>
    <s v="Lucas"/>
    <n v="431279"/>
    <n v="340.46"/>
  </r>
  <r>
    <s v="OH"/>
    <x v="38"/>
    <s v="Madison"/>
    <n v="43824"/>
    <n v="465.44"/>
  </r>
  <r>
    <s v="OH"/>
    <x v="38"/>
    <s v="Mahoning"/>
    <n v="228614"/>
    <n v="415.25"/>
  </r>
  <r>
    <s v="OH"/>
    <x v="38"/>
    <s v="Marion"/>
    <n v="65359"/>
    <n v="403.84"/>
  </r>
  <r>
    <s v="OH"/>
    <x v="38"/>
    <s v="Medina"/>
    <n v="182470"/>
    <n v="423"/>
  </r>
  <r>
    <s v="OH"/>
    <x v="38"/>
    <s v="Meigs"/>
    <n v="22210"/>
    <n v="429.42"/>
  </r>
  <r>
    <s v="OH"/>
    <x v="38"/>
    <s v="Mercer"/>
    <n v="42528"/>
    <n v="463.27"/>
  </r>
  <r>
    <s v="OH"/>
    <x v="38"/>
    <s v="Miami"/>
    <n v="108774"/>
    <n v="407.04"/>
  </r>
  <r>
    <s v="OH"/>
    <x v="38"/>
    <s v="Monroe"/>
    <n v="13385"/>
    <n v="455.54"/>
  </r>
  <r>
    <s v="OH"/>
    <x v="38"/>
    <s v="Montgomery"/>
    <n v="537309"/>
    <n v="461.68"/>
  </r>
  <r>
    <s v="OH"/>
    <x v="38"/>
    <s v="Morgan"/>
    <n v="13802"/>
    <n v="417.66"/>
  </r>
  <r>
    <s v="OH"/>
    <x v="38"/>
    <s v="Morrow"/>
    <n v="34950"/>
    <n v="406.22"/>
  </r>
  <r>
    <s v="OH"/>
    <x v="38"/>
    <s v="Muskingum"/>
    <n v="86410"/>
    <n v="664.63"/>
  </r>
  <r>
    <s v="OH"/>
    <x v="38"/>
    <s v="Noble"/>
    <n v="14115"/>
    <n v="399"/>
  </r>
  <r>
    <s v="OH"/>
    <x v="38"/>
    <s v="Ottawa"/>
    <n v="40364"/>
    <n v="254.95"/>
  </r>
  <r>
    <s v="OH"/>
    <x v="38"/>
    <s v="Paulding"/>
    <n v="18806"/>
    <n v="416.26"/>
  </r>
  <r>
    <s v="OH"/>
    <x v="38"/>
    <s v="Perry"/>
    <n v="35408"/>
    <n v="409.78"/>
  </r>
  <r>
    <s v="OH"/>
    <x v="38"/>
    <s v="Pickaway"/>
    <n v="58539"/>
    <n v="501.91"/>
  </r>
  <r>
    <s v="OH"/>
    <x v="38"/>
    <s v="Pike"/>
    <n v="27088"/>
    <n v="441.49"/>
  </r>
  <r>
    <s v="OH"/>
    <x v="38"/>
    <s v="Portage"/>
    <n v="161791"/>
    <n v="492.39"/>
  </r>
  <r>
    <s v="OH"/>
    <x v="38"/>
    <s v="Preble"/>
    <n v="40999"/>
    <n v="424.8"/>
  </r>
  <r>
    <s v="OH"/>
    <x v="38"/>
    <s v="Putnam"/>
    <n v="34451"/>
    <n v="483.87"/>
  </r>
  <r>
    <s v="OH"/>
    <x v="38"/>
    <s v="Richland"/>
    <n v="124936"/>
    <n v="496.88"/>
  </r>
  <r>
    <s v="OH"/>
    <x v="38"/>
    <s v="Ross"/>
    <n v="77093"/>
    <n v="688.41"/>
  </r>
  <r>
    <s v="OH"/>
    <x v="38"/>
    <s v="Sandusky"/>
    <n v="58896"/>
    <n v="409.18"/>
  </r>
  <r>
    <s v="OH"/>
    <x v="38"/>
    <s v="Scioto"/>
    <n v="74008"/>
    <n v="612.27"/>
  </r>
  <r>
    <s v="OH"/>
    <x v="38"/>
    <s v="Seneca"/>
    <n v="55069"/>
    <n v="550.59"/>
  </r>
  <r>
    <s v="OH"/>
    <x v="38"/>
    <s v="Shelby"/>
    <n v="48230"/>
    <n v="409.27"/>
  </r>
  <r>
    <s v="OH"/>
    <x v="38"/>
    <s v="Stark"/>
    <n v="374853"/>
    <n v="576.14"/>
  </r>
  <r>
    <s v="OH"/>
    <x v="38"/>
    <s v="Summit"/>
    <n v="540428"/>
    <n v="419.38"/>
  </r>
  <r>
    <s v="OH"/>
    <x v="38"/>
    <s v="Trumbull"/>
    <n v="201977"/>
    <n v="616.48"/>
  </r>
  <r>
    <s v="OH"/>
    <x v="38"/>
    <s v="Tuscarawas"/>
    <n v="93263"/>
    <n v="567.58000000000004"/>
  </r>
  <r>
    <s v="OH"/>
    <x v="38"/>
    <s v="Union"/>
    <n v="62784"/>
    <n v="436.65"/>
  </r>
  <r>
    <s v="OH"/>
    <x v="38"/>
    <s v="Van Wert"/>
    <n v="28931"/>
    <n v="410.09"/>
  </r>
  <r>
    <s v="OH"/>
    <x v="38"/>
    <s v="Vinton"/>
    <n v="12800"/>
    <n v="414.08"/>
  </r>
  <r>
    <s v="OH"/>
    <x v="38"/>
    <s v="Warren"/>
    <n v="242337"/>
    <n v="399.63"/>
  </r>
  <r>
    <s v="OH"/>
    <x v="38"/>
    <s v="Washington"/>
    <n v="59771"/>
    <n v="635.15"/>
  </r>
  <r>
    <s v="OH"/>
    <x v="38"/>
    <s v="Wayne"/>
    <n v="116894"/>
    <n v="555.36"/>
  </r>
  <r>
    <s v="OH"/>
    <x v="38"/>
    <s v="Williams"/>
    <n v="37102"/>
    <n v="421.74"/>
  </r>
  <r>
    <s v="OH"/>
    <x v="38"/>
    <s v="Wood"/>
    <n v="132248"/>
    <n v="617.32000000000005"/>
  </r>
  <r>
    <s v="OH"/>
    <x v="38"/>
    <s v="Wyandot"/>
    <n v="21900"/>
    <n v="405.61"/>
  </r>
  <r>
    <s v="OK"/>
    <x v="39"/>
    <s v="Adair"/>
    <n v="19495"/>
    <n v="576"/>
  </r>
  <r>
    <s v="OK"/>
    <x v="39"/>
    <s v="Alfalfa"/>
    <n v="5699"/>
    <n v="867"/>
  </r>
  <r>
    <s v="OK"/>
    <x v="39"/>
    <s v="Atoka"/>
    <n v="14143"/>
    <n v="978"/>
  </r>
  <r>
    <s v="OK"/>
    <x v="39"/>
    <s v="Beaver"/>
    <n v="5049"/>
    <n v="1814"/>
  </r>
  <r>
    <s v="OK"/>
    <x v="39"/>
    <s v="Beckham"/>
    <n v="22410"/>
    <n v="902"/>
  </r>
  <r>
    <s v="OK"/>
    <x v="39"/>
    <s v="Blaine"/>
    <n v="8735"/>
    <n v="929"/>
  </r>
  <r>
    <s v="OK"/>
    <x v="39"/>
    <s v="Bryan"/>
    <n v="46067"/>
    <n v="909"/>
  </r>
  <r>
    <s v="OK"/>
    <x v="39"/>
    <s v="Caddo"/>
    <n v="26945"/>
    <n v="1278"/>
  </r>
  <r>
    <s v="OK"/>
    <x v="39"/>
    <s v="Canadian"/>
    <n v="154405"/>
    <n v="900"/>
  </r>
  <r>
    <s v="OK"/>
    <x v="39"/>
    <s v="Carter"/>
    <n v="48003"/>
    <n v="824"/>
  </r>
  <r>
    <s v="OK"/>
    <x v="39"/>
    <s v="Cherokee"/>
    <n v="47078"/>
    <n v="751"/>
  </r>
  <r>
    <s v="OK"/>
    <x v="39"/>
    <s v="Choctaw"/>
    <n v="14204"/>
    <n v="774"/>
  </r>
  <r>
    <s v="OK"/>
    <x v="39"/>
    <s v="Cimarron"/>
    <n v="2296"/>
    <n v="1835"/>
  </r>
  <r>
    <s v="OK"/>
    <x v="39"/>
    <s v="Cleveland"/>
    <n v="295528"/>
    <n v="536"/>
  </r>
  <r>
    <s v="OK"/>
    <x v="39"/>
    <s v="Coal"/>
    <n v="5266"/>
    <n v="518"/>
  </r>
  <r>
    <s v="OK"/>
    <x v="39"/>
    <s v="Comanche"/>
    <n v="121125"/>
    <n v="1069"/>
  </r>
  <r>
    <s v="OK"/>
    <x v="39"/>
    <s v="Cotton"/>
    <n v="5527"/>
    <n v="637"/>
  </r>
  <r>
    <s v="OK"/>
    <x v="39"/>
    <s v="Craig"/>
    <n v="14107"/>
    <n v="761"/>
  </r>
  <r>
    <s v="OK"/>
    <x v="39"/>
    <s v="Creek"/>
    <n v="71754"/>
    <n v="956"/>
  </r>
  <r>
    <s v="OK"/>
    <x v="39"/>
    <s v="Custer"/>
    <n v="28513"/>
    <n v="987"/>
  </r>
  <r>
    <s v="OK"/>
    <x v="39"/>
    <s v="Delaware"/>
    <n v="40397"/>
    <n v="741"/>
  </r>
  <r>
    <s v="OK"/>
    <x v="39"/>
    <s v="Dewey"/>
    <n v="4484"/>
    <n v="1000"/>
  </r>
  <r>
    <s v="OK"/>
    <x v="39"/>
    <s v="Ellis"/>
    <n v="3749"/>
    <n v="1229"/>
  </r>
  <r>
    <s v="OK"/>
    <x v="39"/>
    <s v="Garfield"/>
    <n v="62846"/>
    <n v="1058"/>
  </r>
  <r>
    <s v="OK"/>
    <x v="39"/>
    <s v="Garvin"/>
    <n v="25656"/>
    <n v="809"/>
  </r>
  <r>
    <s v="OK"/>
    <x v="39"/>
    <s v="Grady"/>
    <n v="54795"/>
    <n v="1101"/>
  </r>
  <r>
    <s v="OK"/>
    <x v="39"/>
    <s v="Grant"/>
    <n v="4169"/>
    <n v="1001"/>
  </r>
  <r>
    <s v="OK"/>
    <x v="39"/>
    <s v="Greer"/>
    <n v="5491"/>
    <n v="639"/>
  </r>
  <r>
    <s v="OK"/>
    <x v="39"/>
    <s v="Harmon"/>
    <n v="2488"/>
    <n v="538"/>
  </r>
  <r>
    <s v="OK"/>
    <x v="39"/>
    <s v="Harper"/>
    <n v="3272"/>
    <n v="1039"/>
  </r>
  <r>
    <s v="OK"/>
    <x v="39"/>
    <s v="Haskell"/>
    <n v="11561"/>
    <n v="577"/>
  </r>
  <r>
    <s v="OK"/>
    <x v="39"/>
    <s v="Hughes"/>
    <n v="13367"/>
    <n v="807"/>
  </r>
  <r>
    <s v="OK"/>
    <x v="39"/>
    <s v="Jackson"/>
    <n v="24785"/>
    <n v="803"/>
  </r>
  <r>
    <s v="OK"/>
    <x v="39"/>
    <s v="Jefferson"/>
    <n v="5337"/>
    <n v="759"/>
  </r>
  <r>
    <s v="OK"/>
    <x v="39"/>
    <s v="Johnston"/>
    <n v="10272"/>
    <n v="645"/>
  </r>
  <r>
    <s v="OK"/>
    <x v="39"/>
    <s v="Kay"/>
    <n v="43700"/>
    <n v="919"/>
  </r>
  <r>
    <s v="OK"/>
    <x v="39"/>
    <s v="Kingfisher"/>
    <n v="15184"/>
    <n v="903"/>
  </r>
  <r>
    <s v="OK"/>
    <x v="39"/>
    <s v="Kiowa"/>
    <n v="8509"/>
    <n v="1015"/>
  </r>
  <r>
    <s v="OK"/>
    <x v="39"/>
    <s v="Latimer"/>
    <n v="9444"/>
    <n v="722"/>
  </r>
  <r>
    <s v="OK"/>
    <x v="39"/>
    <s v="Le Flore"/>
    <n v="48129"/>
    <n v="1586"/>
  </r>
  <r>
    <s v="OK"/>
    <x v="39"/>
    <s v="Lincoln"/>
    <n v="33458"/>
    <n v="959"/>
  </r>
  <r>
    <s v="OK"/>
    <x v="39"/>
    <s v="Logan"/>
    <n v="49555"/>
    <n v="745"/>
  </r>
  <r>
    <s v="OK"/>
    <x v="39"/>
    <s v="Love"/>
    <n v="10146"/>
    <n v="515"/>
  </r>
  <r>
    <s v="OK"/>
    <x v="39"/>
    <s v="Major"/>
    <n v="7782"/>
    <n v="570"/>
  </r>
  <r>
    <s v="OK"/>
    <x v="39"/>
    <s v="Marshall"/>
    <n v="15312"/>
    <n v="371"/>
  </r>
  <r>
    <s v="OK"/>
    <x v="39"/>
    <s v="Mayes"/>
    <n v="39046"/>
    <n v="620"/>
  </r>
  <r>
    <s v="OK"/>
    <x v="39"/>
    <s v="McClain"/>
    <n v="41662"/>
    <n v="957"/>
  </r>
  <r>
    <s v="OK"/>
    <x v="39"/>
    <s v="McCurtain"/>
    <n v="30814"/>
    <n v="1850"/>
  </r>
  <r>
    <s v="OK"/>
    <x v="39"/>
    <s v="McIntosh"/>
    <n v="18941"/>
    <n v="656"/>
  </r>
  <r>
    <s v="OK"/>
    <x v="39"/>
    <s v="Murray"/>
    <n v="13904"/>
    <n v="418"/>
  </r>
  <r>
    <s v="OK"/>
    <x v="39"/>
    <s v="Muskogee"/>
    <n v="66339"/>
    <n v="814"/>
  </r>
  <r>
    <s v="OK"/>
    <x v="39"/>
    <s v="Noble"/>
    <n v="10924"/>
    <n v="732"/>
  </r>
  <r>
    <s v="OK"/>
    <x v="39"/>
    <s v="Nowata"/>
    <n v="9320"/>
    <n v="565"/>
  </r>
  <r>
    <s v="OK"/>
    <x v="39"/>
    <s v="Okfuskee"/>
    <n v="11310"/>
    <n v="625"/>
  </r>
  <r>
    <s v="OK"/>
    <x v="39"/>
    <s v="Oklahoma"/>
    <n v="796292"/>
    <n v="709"/>
  </r>
  <r>
    <s v="OK"/>
    <x v="39"/>
    <s v="Okmulgee"/>
    <n v="36706"/>
    <n v="697"/>
  </r>
  <r>
    <s v="OK"/>
    <x v="39"/>
    <s v="Osage"/>
    <n v="45818"/>
    <n v="2251"/>
  </r>
  <r>
    <s v="OK"/>
    <x v="39"/>
    <s v="Ottawa"/>
    <n v="30285"/>
    <n v="471"/>
  </r>
  <r>
    <s v="OK"/>
    <x v="39"/>
    <s v="Pawnee"/>
    <n v="15553"/>
    <n v="570"/>
  </r>
  <r>
    <s v="OK"/>
    <x v="39"/>
    <s v="Payne"/>
    <n v="81646"/>
    <n v="686"/>
  </r>
  <r>
    <s v="OK"/>
    <x v="39"/>
    <s v="Pittsburg"/>
    <n v="43773"/>
    <n v="1306"/>
  </r>
  <r>
    <s v="OK"/>
    <x v="39"/>
    <s v="Pontotoc"/>
    <n v="38065"/>
    <n v="720"/>
  </r>
  <r>
    <s v="OK"/>
    <x v="39"/>
    <s v="Pottawatomie"/>
    <n v="72454"/>
    <n v="788"/>
  </r>
  <r>
    <s v="OK"/>
    <x v="39"/>
    <s v="Pushmataha"/>
    <n v="10812"/>
    <n v="1397"/>
  </r>
  <r>
    <s v="OK"/>
    <x v="39"/>
    <s v="Roger Mills"/>
    <n v="3442"/>
    <n v="1142"/>
  </r>
  <r>
    <s v="OK"/>
    <x v="39"/>
    <s v="Rogers"/>
    <n v="95240"/>
    <n v="675"/>
  </r>
  <r>
    <s v="OK"/>
    <x v="39"/>
    <s v="Seminole"/>
    <n v="23556"/>
    <n v="632"/>
  </r>
  <r>
    <s v="OK"/>
    <x v="39"/>
    <s v="Sequoyah"/>
    <n v="39281"/>
    <n v="674"/>
  </r>
  <r>
    <s v="OK"/>
    <x v="39"/>
    <s v="Stephens"/>
    <n v="42848"/>
    <n v="877"/>
  </r>
  <r>
    <s v="OK"/>
    <x v="39"/>
    <s v="Texas"/>
    <n v="21384"/>
    <n v="2037"/>
  </r>
  <r>
    <s v="OK"/>
    <x v="39"/>
    <s v="Tillman"/>
    <n v="6968"/>
    <n v="872"/>
  </r>
  <r>
    <s v="OK"/>
    <x v="39"/>
    <s v="Tulsa"/>
    <n v="669279"/>
    <n v="570"/>
  </r>
  <r>
    <s v="OK"/>
    <x v="39"/>
    <s v="Wagoner"/>
    <n v="80981"/>
    <n v="563"/>
  </r>
  <r>
    <s v="OK"/>
    <x v="39"/>
    <s v="Washington"/>
    <n v="52455"/>
    <n v="417"/>
  </r>
  <r>
    <s v="OK"/>
    <x v="39"/>
    <s v="Washita"/>
    <n v="10924"/>
    <n v="1004"/>
  </r>
  <r>
    <s v="OK"/>
    <x v="39"/>
    <s v="Woods"/>
    <n v="8624"/>
    <n v="1287"/>
  </r>
  <r>
    <s v="OK"/>
    <x v="39"/>
    <s v="Woodward"/>
    <n v="20470"/>
    <n v="1242"/>
  </r>
  <r>
    <s v="OR"/>
    <x v="40"/>
    <s v="Baker"/>
    <n v="16668"/>
    <n v="3068"/>
  </r>
  <r>
    <s v="OR"/>
    <x v="40"/>
    <s v="Benton"/>
    <n v="95184"/>
    <n v="676"/>
  </r>
  <r>
    <s v="OR"/>
    <x v="40"/>
    <s v="Clackamas"/>
    <n v="421401"/>
    <n v="868"/>
  </r>
  <r>
    <s v="OR"/>
    <x v="40"/>
    <s v="Clatsop"/>
    <n v="41072"/>
    <n v="827"/>
  </r>
  <r>
    <s v="OR"/>
    <x v="40"/>
    <s v="Columbia"/>
    <n v="52589"/>
    <n v="657"/>
  </r>
  <r>
    <s v="OR"/>
    <x v="40"/>
    <s v="Coos"/>
    <n v="64929"/>
    <n v="1600"/>
  </r>
  <r>
    <s v="OR"/>
    <x v="40"/>
    <s v="Crook"/>
    <n v="24738"/>
    <n v="2980"/>
  </r>
  <r>
    <s v="OR"/>
    <x v="40"/>
    <s v="Curry"/>
    <n v="23446"/>
    <n v="1627"/>
  </r>
  <r>
    <s v="OR"/>
    <x v="40"/>
    <s v="Deschutes"/>
    <n v="198253"/>
    <n v="3018"/>
  </r>
  <r>
    <s v="OR"/>
    <x v="40"/>
    <s v="Douglas"/>
    <n v="111201"/>
    <n v="5037"/>
  </r>
  <r>
    <s v="OR"/>
    <x v="40"/>
    <s v="Gilliam"/>
    <n v="1995"/>
    <n v="1204"/>
  </r>
  <r>
    <s v="OR"/>
    <x v="40"/>
    <s v="Grant"/>
    <n v="7233"/>
    <n v="4529"/>
  </r>
  <r>
    <s v="OR"/>
    <x v="40"/>
    <s v="Harney"/>
    <n v="7495"/>
    <n v="10135"/>
  </r>
  <r>
    <s v="OR"/>
    <x v="40"/>
    <s v="Hood River"/>
    <n v="23977"/>
    <n v="522"/>
  </r>
  <r>
    <s v="OR"/>
    <x v="40"/>
    <s v="Jackson"/>
    <n v="223259"/>
    <n v="2785"/>
  </r>
  <r>
    <s v="OR"/>
    <x v="40"/>
    <s v="Jefferson"/>
    <n v="24502"/>
    <n v="1781"/>
  </r>
  <r>
    <s v="OR"/>
    <x v="40"/>
    <s v="Josephine"/>
    <n v="88090"/>
    <n v="1640"/>
  </r>
  <r>
    <s v="OR"/>
    <x v="40"/>
    <s v="Klamath"/>
    <n v="69413"/>
    <n v="5945"/>
  </r>
  <r>
    <s v="OR"/>
    <x v="40"/>
    <s v="Lake"/>
    <n v="8160"/>
    <n v="7940"/>
  </r>
  <r>
    <s v="OR"/>
    <x v="40"/>
    <s v="Lane"/>
    <n v="382971"/>
    <n v="4554"/>
  </r>
  <r>
    <s v="OR"/>
    <x v="40"/>
    <s v="Lincoln"/>
    <n v="50395"/>
    <n v="980"/>
  </r>
  <r>
    <s v="OR"/>
    <x v="40"/>
    <s v="Linn"/>
    <n v="128610"/>
    <n v="2291"/>
  </r>
  <r>
    <s v="OR"/>
    <x v="40"/>
    <s v="Malheur"/>
    <n v="31571"/>
    <n v="9888"/>
  </r>
  <r>
    <s v="OR"/>
    <x v="40"/>
    <s v="Marion"/>
    <n v="345920"/>
    <n v="1185"/>
  </r>
  <r>
    <s v="OR"/>
    <x v="40"/>
    <s v="Morrow"/>
    <n v="12186"/>
    <n v="2033"/>
  </r>
  <r>
    <s v="OR"/>
    <x v="40"/>
    <s v="Multnomah"/>
    <n v="815428"/>
    <n v="435"/>
  </r>
  <r>
    <s v="OR"/>
    <x v="40"/>
    <s v="Polk"/>
    <n v="87433"/>
    <n v="741"/>
  </r>
  <r>
    <s v="OR"/>
    <x v="40"/>
    <s v="Sherman"/>
    <n v="1870"/>
    <n v="823"/>
  </r>
  <r>
    <s v="OR"/>
    <x v="40"/>
    <s v="Tillamook"/>
    <n v="27390"/>
    <n v="1102"/>
  </r>
  <r>
    <s v="OR"/>
    <x v="40"/>
    <s v="Umatilla"/>
    <n v="80075"/>
    <n v="3215"/>
  </r>
  <r>
    <s v="OR"/>
    <x v="40"/>
    <s v="Union"/>
    <n v="26196"/>
    <n v="2037"/>
  </r>
  <r>
    <s v="OR"/>
    <x v="40"/>
    <s v="Wallowa"/>
    <n v="7391"/>
    <n v="3145"/>
  </r>
  <r>
    <s v="OR"/>
    <x v="40"/>
    <s v="Wasco"/>
    <n v="26670"/>
    <n v="2381"/>
  </r>
  <r>
    <s v="OR"/>
    <x v="40"/>
    <s v="Washington"/>
    <n v="600372"/>
    <n v="724"/>
  </r>
  <r>
    <s v="OR"/>
    <x v="40"/>
    <s v="Wheeler"/>
    <n v="1451"/>
    <n v="1715"/>
  </r>
  <r>
    <s v="OR"/>
    <x v="40"/>
    <s v="Yamhill"/>
    <n v="107722"/>
    <n v="716"/>
  </r>
  <r>
    <s v="PA"/>
    <x v="41"/>
    <s v="Adams"/>
    <n v="103852"/>
    <n v="522"/>
  </r>
  <r>
    <s v="PA"/>
    <x v="41"/>
    <s v="Allegheny"/>
    <n v="1250578"/>
    <n v="745"/>
  </r>
  <r>
    <s v="PA"/>
    <x v="41"/>
    <s v="Armstrong"/>
    <n v="65558"/>
    <n v="664"/>
  </r>
  <r>
    <s v="PA"/>
    <x v="41"/>
    <s v="Beaver"/>
    <n v="168215"/>
    <n v="444"/>
  </r>
  <r>
    <s v="PA"/>
    <x v="41"/>
    <s v="Bedford"/>
    <n v="47577"/>
    <n v="1015"/>
  </r>
  <r>
    <s v="PA"/>
    <x v="41"/>
    <s v="Berks"/>
    <n v="428849"/>
    <n v="866"/>
  </r>
  <r>
    <s v="PA"/>
    <x v="41"/>
    <s v="Blair"/>
    <n v="122822"/>
    <n v="527"/>
  </r>
  <r>
    <s v="PA"/>
    <x v="41"/>
    <s v="Bradford"/>
    <n v="59967"/>
    <n v="1161"/>
  </r>
  <r>
    <s v="PA"/>
    <x v="41"/>
    <s v="Bucks"/>
    <n v="646538"/>
    <n v="622"/>
  </r>
  <r>
    <s v="PA"/>
    <x v="41"/>
    <s v="Butler"/>
    <n v="193763"/>
    <n v="795"/>
  </r>
  <r>
    <s v="PA"/>
    <x v="41"/>
    <s v="Cambria"/>
    <n v="133472"/>
    <n v="693"/>
  </r>
  <r>
    <s v="PA"/>
    <x v="41"/>
    <s v="Cameron"/>
    <n v="4547"/>
    <n v="399"/>
  </r>
  <r>
    <s v="PA"/>
    <x v="41"/>
    <s v="Carbon"/>
    <n v="64749"/>
    <n v="387"/>
  </r>
  <r>
    <s v="PA"/>
    <x v="41"/>
    <s v="Centre"/>
    <n v="158172"/>
    <n v="1112"/>
  </r>
  <r>
    <s v="PA"/>
    <x v="41"/>
    <s v="Chester"/>
    <n v="534413"/>
    <n v="760"/>
  </r>
  <r>
    <s v="PA"/>
    <x v="41"/>
    <s v="Clarion"/>
    <n v="37241"/>
    <n v="609"/>
  </r>
  <r>
    <s v="PA"/>
    <x v="41"/>
    <s v="Clearfield"/>
    <n v="80562"/>
    <n v="1154"/>
  </r>
  <r>
    <s v="PA"/>
    <x v="41"/>
    <s v="Clinton"/>
    <n v="37450"/>
    <n v="898"/>
  </r>
  <r>
    <s v="PA"/>
    <x v="41"/>
    <s v="Columbia"/>
    <n v="64727"/>
    <n v="490"/>
  </r>
  <r>
    <s v="PA"/>
    <x v="41"/>
    <s v="Crawford"/>
    <n v="83938"/>
    <n v="1038"/>
  </r>
  <r>
    <s v="PA"/>
    <x v="41"/>
    <s v="Cumberland"/>
    <n v="259469"/>
    <n v="551"/>
  </r>
  <r>
    <s v="PA"/>
    <x v="41"/>
    <s v="Dauphin"/>
    <n v="286401"/>
    <n v="558"/>
  </r>
  <r>
    <s v="PA"/>
    <x v="41"/>
    <s v="Delaware"/>
    <n v="576830"/>
    <n v="191"/>
  </r>
  <r>
    <s v="PA"/>
    <x v="41"/>
    <s v="Elk"/>
    <n v="30990"/>
    <n v="832"/>
  </r>
  <r>
    <s v="PA"/>
    <x v="41"/>
    <s v="Erie"/>
    <n v="270876"/>
    <n v="799"/>
  </r>
  <r>
    <s v="PA"/>
    <x v="41"/>
    <s v="Fayette"/>
    <n v="128804"/>
    <n v="798"/>
  </r>
  <r>
    <s v="PA"/>
    <x v="41"/>
    <s v="Forest"/>
    <n v="6973"/>
    <n v="431"/>
  </r>
  <r>
    <s v="PA"/>
    <x v="41"/>
    <s v="Franklin"/>
    <n v="155932"/>
    <n v="771"/>
  </r>
  <r>
    <s v="PA"/>
    <x v="41"/>
    <s v="Fulton"/>
    <n v="14556"/>
    <n v="438"/>
  </r>
  <r>
    <s v="PA"/>
    <x v="41"/>
    <s v="Greene"/>
    <n v="35954"/>
    <n v="578"/>
  </r>
  <r>
    <s v="PA"/>
    <x v="41"/>
    <s v="Huntingdon"/>
    <n v="44092"/>
    <n v="889"/>
  </r>
  <r>
    <s v="PA"/>
    <x v="41"/>
    <s v="Indiana"/>
    <n v="83246"/>
    <n v="834"/>
  </r>
  <r>
    <s v="PA"/>
    <x v="41"/>
    <s v="Jefferson"/>
    <n v="44492"/>
    <n v="657"/>
  </r>
  <r>
    <s v="PA"/>
    <x v="41"/>
    <s v="Juniata"/>
    <n v="23509"/>
    <n v="394"/>
  </r>
  <r>
    <s v="PA"/>
    <x v="41"/>
    <s v="Lackawanna"/>
    <n v="215896"/>
    <n v="465"/>
  </r>
  <r>
    <s v="PA"/>
    <x v="41"/>
    <s v="Lancaster"/>
    <n v="552984"/>
    <n v="984"/>
  </r>
  <r>
    <s v="PA"/>
    <x v="41"/>
    <s v="Lawrence"/>
    <n v="86070"/>
    <n v="363"/>
  </r>
  <r>
    <s v="PA"/>
    <x v="41"/>
    <s v="Lebanon"/>
    <n v="143257"/>
    <n v="363"/>
  </r>
  <r>
    <s v="PA"/>
    <x v="41"/>
    <s v="Lehigh"/>
    <n v="374557"/>
    <n v="349"/>
  </r>
  <r>
    <s v="PA"/>
    <x v="41"/>
    <s v="Luzerne"/>
    <n v="325594"/>
    <n v="907"/>
  </r>
  <r>
    <s v="PA"/>
    <x v="41"/>
    <s v="Lycoming"/>
    <n v="114188"/>
    <n v="1244"/>
  </r>
  <r>
    <s v="PA"/>
    <x v="41"/>
    <s v="McKean"/>
    <n v="40432"/>
    <n v="984"/>
  </r>
  <r>
    <s v="PA"/>
    <x v="41"/>
    <s v="Mercer"/>
    <n v="110652"/>
    <n v="683"/>
  </r>
  <r>
    <s v="PA"/>
    <x v="41"/>
    <s v="Mifflin"/>
    <n v="46143"/>
    <n v="415"/>
  </r>
  <r>
    <s v="PA"/>
    <x v="41"/>
    <s v="Monroe"/>
    <n v="168327"/>
    <n v="617"/>
  </r>
  <r>
    <s v="PA"/>
    <x v="41"/>
    <s v="Montgomery"/>
    <n v="856553"/>
    <n v="487"/>
  </r>
  <r>
    <s v="PA"/>
    <x v="41"/>
    <s v="Montour"/>
    <n v="18136"/>
    <n v="132"/>
  </r>
  <r>
    <s v="PA"/>
    <x v="41"/>
    <s v="Northampton"/>
    <n v="312951"/>
    <n v="377"/>
  </r>
  <r>
    <s v="PA"/>
    <x v="41"/>
    <s v="Northumberland"/>
    <n v="91647"/>
    <n v="477"/>
  </r>
  <r>
    <s v="PA"/>
    <x v="41"/>
    <s v="Perry"/>
    <n v="45842"/>
    <n v="556"/>
  </r>
  <r>
    <s v="PA"/>
    <x v="41"/>
    <s v="Philadelphia"/>
    <n v="1603797"/>
    <n v="143"/>
  </r>
  <r>
    <s v="PA"/>
    <x v="41"/>
    <s v="Pike"/>
    <n v="58535"/>
    <n v="567"/>
  </r>
  <r>
    <s v="PA"/>
    <x v="41"/>
    <s v="Potter"/>
    <n v="16396"/>
    <n v="1081"/>
  </r>
  <r>
    <s v="PA"/>
    <x v="41"/>
    <s v="Schuylkill"/>
    <n v="143049"/>
    <n v="778"/>
  </r>
  <r>
    <s v="PA"/>
    <x v="41"/>
    <s v="Snyder"/>
    <n v="39736"/>
    <n v="332"/>
  </r>
  <r>
    <s v="PA"/>
    <x v="41"/>
    <s v="Somerset"/>
    <n v="74129"/>
    <n v="1081"/>
  </r>
  <r>
    <s v="PA"/>
    <x v="41"/>
    <s v="Sullivan"/>
    <n v="5840"/>
    <n v="452"/>
  </r>
  <r>
    <s v="PA"/>
    <x v="41"/>
    <s v="Susquehanna"/>
    <n v="38434"/>
    <n v="832"/>
  </r>
  <r>
    <s v="PA"/>
    <x v="41"/>
    <s v="Tioga"/>
    <n v="41045"/>
    <n v="1137"/>
  </r>
  <r>
    <s v="PA"/>
    <x v="41"/>
    <s v="Union"/>
    <n v="42681"/>
    <n v="317"/>
  </r>
  <r>
    <s v="PA"/>
    <x v="41"/>
    <s v="Venango"/>
    <n v="50454"/>
    <n v="683"/>
  </r>
  <r>
    <s v="PA"/>
    <x v="41"/>
    <s v="Warren"/>
    <n v="38587"/>
    <n v="898"/>
  </r>
  <r>
    <s v="PA"/>
    <x v="41"/>
    <s v="Washington"/>
    <n v="209349"/>
    <n v="861"/>
  </r>
  <r>
    <s v="PA"/>
    <x v="41"/>
    <s v="Wayne"/>
    <n v="51155"/>
    <n v="751"/>
  </r>
  <r>
    <s v="PA"/>
    <x v="41"/>
    <s v="Westmoreland"/>
    <n v="354663"/>
    <n v="1036"/>
  </r>
  <r>
    <s v="PA"/>
    <x v="41"/>
    <s v="Wyoming"/>
    <n v="26069"/>
    <n v="406"/>
  </r>
  <r>
    <s v="PA"/>
    <x v="41"/>
    <s v="York"/>
    <n v="456438"/>
    <n v="910"/>
  </r>
  <r>
    <s v="PR"/>
    <x v="42"/>
    <s v="Adjuntas"/>
    <n v="18020"/>
    <n v="66.69"/>
  </r>
  <r>
    <s v="PR"/>
    <x v="42"/>
    <s v="Aguada"/>
    <n v="38136"/>
    <n v="30.85"/>
  </r>
  <r>
    <s v="PR"/>
    <x v="42"/>
    <s v="Aguadilla"/>
    <n v="55101"/>
    <n v="36.53"/>
  </r>
  <r>
    <s v="PR"/>
    <x v="42"/>
    <s v="Aguas Buenas"/>
    <n v="24223"/>
    <n v="30.08"/>
  </r>
  <r>
    <s v="PR"/>
    <x v="42"/>
    <s v="Aibonito"/>
    <n v="24637"/>
    <n v="31.31"/>
  </r>
  <r>
    <s v="PR"/>
    <x v="42"/>
    <s v="Añasco"/>
    <n v="25596"/>
    <n v="39.29"/>
  </r>
  <r>
    <s v="PR"/>
    <x v="42"/>
    <s v="Arecibo"/>
    <n v="87754"/>
    <n v="125.95"/>
  </r>
  <r>
    <s v="PR"/>
    <x v="42"/>
    <s v="Arroyo"/>
    <n v="15843"/>
    <n v="15.01"/>
  </r>
  <r>
    <s v="PR"/>
    <x v="42"/>
    <s v="Barceloneta"/>
    <n v="22657"/>
    <n v="18.690000000000001"/>
  </r>
  <r>
    <s v="PR"/>
    <x v="42"/>
    <s v="Barranquitas"/>
    <n v="28983"/>
    <n v="34.25"/>
  </r>
  <r>
    <s v="PR"/>
    <x v="42"/>
    <s v="Bayamón"/>
    <n v="185187"/>
    <n v="44.32"/>
  </r>
  <r>
    <s v="PR"/>
    <x v="42"/>
    <s v="Cabo Rojo"/>
    <n v="47158"/>
    <n v="70.37"/>
  </r>
  <r>
    <s v="PR"/>
    <x v="42"/>
    <s v="Caguas"/>
    <n v="127244"/>
    <n v="58.6"/>
  </r>
  <r>
    <s v="PR"/>
    <x v="42"/>
    <s v="Camuy"/>
    <n v="32827"/>
    <n v="46.35"/>
  </r>
  <r>
    <s v="PR"/>
    <x v="42"/>
    <s v="Canóvanas"/>
    <n v="42337"/>
    <n v="32.869999999999997"/>
  </r>
  <r>
    <s v="PR"/>
    <x v="42"/>
    <s v="Carolina"/>
    <n v="154815"/>
    <n v="45.32"/>
  </r>
  <r>
    <s v="PR"/>
    <x v="42"/>
    <s v="Cataño"/>
    <n v="23155"/>
    <n v="4.84"/>
  </r>
  <r>
    <s v="PR"/>
    <x v="42"/>
    <s v="Cayey"/>
    <n v="41652"/>
    <n v="51.93"/>
  </r>
  <r>
    <s v="PR"/>
    <x v="42"/>
    <s v="Ceiba"/>
    <n v="11307"/>
    <n v="29.04"/>
  </r>
  <r>
    <s v="PR"/>
    <x v="42"/>
    <s v="Ciales"/>
    <n v="16984"/>
    <n v="66.53"/>
  </r>
  <r>
    <s v="PR"/>
    <x v="42"/>
    <s v="Cidra"/>
    <n v="39970"/>
    <n v="36.020000000000003"/>
  </r>
  <r>
    <s v="PR"/>
    <x v="42"/>
    <s v="Coamo"/>
    <n v="34668"/>
    <n v="78.099999999999994"/>
  </r>
  <r>
    <s v="PR"/>
    <x v="42"/>
    <s v="Comerío"/>
    <n v="18883"/>
    <n v="28.4"/>
  </r>
  <r>
    <s v="PR"/>
    <x v="42"/>
    <s v="Corozal"/>
    <n v="34571"/>
    <n v="42.57"/>
  </r>
  <r>
    <s v="PR"/>
    <x v="42"/>
    <s v="Culebra"/>
    <n v="1792"/>
    <n v="11.62"/>
  </r>
  <r>
    <s v="PR"/>
    <x v="42"/>
    <s v="Dorado"/>
    <n v="35879"/>
    <n v="23.09"/>
  </r>
  <r>
    <s v="PR"/>
    <x v="42"/>
    <s v="Fajardo"/>
    <n v="32124"/>
    <n v="29.86"/>
  </r>
  <r>
    <s v="PR"/>
    <x v="42"/>
    <s v="Florida"/>
    <n v="11692"/>
    <n v="15.21"/>
  </r>
  <r>
    <s v="PR"/>
    <x v="42"/>
    <s v="Guánica"/>
    <n v="13787"/>
    <n v="37.049999999999997"/>
  </r>
  <r>
    <s v="PR"/>
    <x v="42"/>
    <s v="Guayama"/>
    <n v="36614"/>
    <n v="64.989999999999995"/>
  </r>
  <r>
    <s v="PR"/>
    <x v="42"/>
    <s v="Guayanilla"/>
    <n v="17784"/>
    <n v="42.27"/>
  </r>
  <r>
    <s v="PR"/>
    <x v="42"/>
    <s v="Guaynabo"/>
    <n v="89780"/>
    <n v="27.58"/>
  </r>
  <r>
    <s v="PR"/>
    <x v="42"/>
    <s v="Gurabo"/>
    <n v="40622"/>
    <n v="27.89"/>
  </r>
  <r>
    <s v="PR"/>
    <x v="42"/>
    <s v="Hatillo"/>
    <n v="38486"/>
    <n v="41.78"/>
  </r>
  <r>
    <s v="PR"/>
    <x v="42"/>
    <s v="Hormigueros"/>
    <n v="15654"/>
    <n v="11.34"/>
  </r>
  <r>
    <s v="PR"/>
    <x v="42"/>
    <s v="Humacao"/>
    <n v="50896"/>
    <n v="44.75"/>
  </r>
  <r>
    <s v="PR"/>
    <x v="42"/>
    <s v="Isabela"/>
    <n v="42943"/>
    <n v="55.3"/>
  </r>
  <r>
    <s v="PR"/>
    <x v="42"/>
    <s v="Jayuya"/>
    <n v="14779"/>
    <n v="44.53"/>
  </r>
  <r>
    <s v="PR"/>
    <x v="42"/>
    <s v="Juana Díaz"/>
    <n v="46538"/>
    <n v="60.28"/>
  </r>
  <r>
    <s v="PR"/>
    <x v="42"/>
    <s v="Juncos"/>
    <n v="37012"/>
    <n v="26.49"/>
  </r>
  <r>
    <s v="PR"/>
    <x v="42"/>
    <s v="Lajas"/>
    <n v="23334"/>
    <n v="59.95"/>
  </r>
  <r>
    <s v="PR"/>
    <x v="42"/>
    <s v="Lares"/>
    <n v="28105"/>
    <n v="61.45"/>
  </r>
  <r>
    <s v="PR"/>
    <x v="42"/>
    <s v="Las Marías"/>
    <n v="8874"/>
    <n v="46.36"/>
  </r>
  <r>
    <s v="PR"/>
    <x v="42"/>
    <s v="Las Piedras"/>
    <n v="35180"/>
    <n v="33.880000000000003"/>
  </r>
  <r>
    <s v="PR"/>
    <x v="42"/>
    <s v="Loíza"/>
    <n v="23693"/>
    <n v="19.37"/>
  </r>
  <r>
    <s v="PR"/>
    <x v="42"/>
    <s v="Luquillo"/>
    <n v="17781"/>
    <n v="25.81"/>
  </r>
  <r>
    <s v="PR"/>
    <x v="42"/>
    <s v="Manatí"/>
    <n v="39492"/>
    <n v="46.13"/>
  </r>
  <r>
    <s v="PR"/>
    <x v="42"/>
    <s v="Maricao"/>
    <n v="4755"/>
    <n v="36.619999999999997"/>
  </r>
  <r>
    <s v="PR"/>
    <x v="42"/>
    <s v="Maunabo"/>
    <n v="10589"/>
    <n v="21.07"/>
  </r>
  <r>
    <s v="PR"/>
    <x v="42"/>
    <s v="Mayagüez"/>
    <n v="73077"/>
    <n v="77.650000000000006"/>
  </r>
  <r>
    <s v="PR"/>
    <x v="42"/>
    <s v="Moca"/>
    <n v="37460"/>
    <n v="50.34"/>
  </r>
  <r>
    <s v="PR"/>
    <x v="42"/>
    <s v="Morovis"/>
    <n v="28727"/>
    <n v="38.869999999999997"/>
  </r>
  <r>
    <s v="PR"/>
    <x v="42"/>
    <s v="Naguabo"/>
    <n v="23386"/>
    <n v="51.66"/>
  </r>
  <r>
    <s v="PR"/>
    <x v="42"/>
    <s v="Naranjito"/>
    <n v="29241"/>
    <n v="27.4"/>
  </r>
  <r>
    <s v="PR"/>
    <x v="42"/>
    <s v="Orocovis"/>
    <n v="21434"/>
    <n v="63.62"/>
  </r>
  <r>
    <s v="PR"/>
    <x v="42"/>
    <s v="Patillas"/>
    <n v="15985"/>
    <n v="46.7"/>
  </r>
  <r>
    <s v="PR"/>
    <x v="42"/>
    <s v="Peñuelas"/>
    <n v="20399"/>
    <n v="44.62"/>
  </r>
  <r>
    <s v="PR"/>
    <x v="42"/>
    <s v="Ponce"/>
    <n v="137491"/>
    <n v="114.76"/>
  </r>
  <r>
    <s v="PR"/>
    <x v="42"/>
    <s v="Quebradillas"/>
    <n v="23638"/>
    <n v="22.68"/>
  </r>
  <r>
    <s v="PR"/>
    <x v="42"/>
    <s v="Rincón"/>
    <n v="15187"/>
    <n v="14.29"/>
  </r>
  <r>
    <s v="PR"/>
    <x v="42"/>
    <s v="Río Grande"/>
    <n v="47060"/>
    <n v="60.62"/>
  </r>
  <r>
    <s v="PR"/>
    <x v="42"/>
    <s v="Sabana Grande"/>
    <n v="22729"/>
    <n v="35.83"/>
  </r>
  <r>
    <s v="PR"/>
    <x v="42"/>
    <s v="Salinas"/>
    <n v="25789"/>
    <n v="69.37"/>
  </r>
  <r>
    <s v="PR"/>
    <x v="42"/>
    <s v="San Germán"/>
    <n v="31879"/>
    <n v="54.5"/>
  </r>
  <r>
    <s v="PR"/>
    <x v="42"/>
    <s v="San Juan"/>
    <n v="342259"/>
    <n v="47.85"/>
  </r>
  <r>
    <s v="PR"/>
    <x v="42"/>
    <s v="San Lorenzo"/>
    <n v="37693"/>
    <n v="53.11"/>
  </r>
  <r>
    <s v="PR"/>
    <x v="42"/>
    <s v="San Sebastián"/>
    <n v="39345"/>
    <n v="70.42"/>
  </r>
  <r>
    <s v="PR"/>
    <x v="42"/>
    <s v="Santa Isabel"/>
    <n v="20281"/>
    <n v="34.020000000000003"/>
  </r>
  <r>
    <s v="PR"/>
    <x v="42"/>
    <s v="Toa Alta"/>
    <n v="66852"/>
    <n v="27.02"/>
  </r>
  <r>
    <s v="PR"/>
    <x v="42"/>
    <s v="Toa Baja"/>
    <n v="75293"/>
    <n v="23.24"/>
  </r>
  <r>
    <s v="PR"/>
    <x v="42"/>
    <s v="Trujillo Alto"/>
    <n v="67740"/>
    <n v="20.76"/>
  </r>
  <r>
    <s v="PR"/>
    <x v="42"/>
    <s v="Utuado"/>
    <n v="28287"/>
    <n v="113.53"/>
  </r>
  <r>
    <s v="PR"/>
    <x v="42"/>
    <s v="Vega Alta"/>
    <n v="35395"/>
    <n v="27.73"/>
  </r>
  <r>
    <s v="PR"/>
    <x v="42"/>
    <s v="Vega Baja"/>
    <n v="54414"/>
    <n v="45.86"/>
  </r>
  <r>
    <s v="PR"/>
    <x v="42"/>
    <s v="Vieques"/>
    <n v="8249"/>
    <n v="50.77"/>
  </r>
  <r>
    <s v="PR"/>
    <x v="42"/>
    <s v="Villalba"/>
    <n v="22093"/>
    <n v="35.64"/>
  </r>
  <r>
    <s v="PR"/>
    <x v="42"/>
    <s v="Yabucoa"/>
    <n v="30426"/>
    <n v="55.21"/>
  </r>
  <r>
    <s v="PR"/>
    <x v="42"/>
    <s v="Yauco"/>
    <n v="34172"/>
    <n v="68.19"/>
  </r>
  <r>
    <s v="RI"/>
    <x v="43"/>
    <s v="Bristol"/>
    <n v="50793"/>
    <n v="24"/>
  </r>
  <r>
    <s v="RI"/>
    <x v="43"/>
    <s v="Kent"/>
    <n v="170363"/>
    <n v="168"/>
  </r>
  <r>
    <s v="RI"/>
    <x v="43"/>
    <s v="Newport"/>
    <n v="85643"/>
    <n v="102"/>
  </r>
  <r>
    <s v="RI"/>
    <x v="43"/>
    <s v="Providence"/>
    <n v="660741"/>
    <n v="409"/>
  </r>
  <r>
    <s v="RI"/>
    <x v="43"/>
    <s v="Washington"/>
    <n v="129839"/>
    <n v="329"/>
  </r>
  <r>
    <s v="SC"/>
    <x v="44"/>
    <s v="Abbeville"/>
    <n v="24295"/>
    <n v="511"/>
  </r>
  <r>
    <s v="SC"/>
    <x v="44"/>
    <s v="Aiken"/>
    <n v="168808"/>
    <n v="1080"/>
  </r>
  <r>
    <s v="SC"/>
    <x v="44"/>
    <s v="Allendale"/>
    <n v="8039"/>
    <n v="413"/>
  </r>
  <r>
    <s v="SC"/>
    <x v="44"/>
    <s v="Anderson"/>
    <n v="203718"/>
    <n v="757"/>
  </r>
  <r>
    <s v="SC"/>
    <x v="44"/>
    <s v="Bamberg"/>
    <n v="13311"/>
    <n v="395"/>
  </r>
  <r>
    <s v="SC"/>
    <x v="44"/>
    <s v="Barnwell"/>
    <n v="20589"/>
    <n v="557"/>
  </r>
  <r>
    <s v="SC"/>
    <x v="44"/>
    <s v="Beaufort"/>
    <n v="187117"/>
    <n v="576"/>
  </r>
  <r>
    <s v="SC"/>
    <x v="44"/>
    <s v="Berkeley"/>
    <n v="229861"/>
    <n v="1228"/>
  </r>
  <r>
    <s v="SC"/>
    <x v="44"/>
    <s v="Calhoun"/>
    <n v="14119"/>
    <n v="392"/>
  </r>
  <r>
    <s v="SC"/>
    <x v="44"/>
    <s v="Charleston"/>
    <n v="408235"/>
    <n v="1358"/>
  </r>
  <r>
    <s v="SC"/>
    <x v="44"/>
    <s v="Cherokee"/>
    <n v="56216"/>
    <n v="397"/>
  </r>
  <r>
    <s v="SC"/>
    <x v="44"/>
    <s v="Chester"/>
    <n v="32294"/>
    <n v="586"/>
  </r>
  <r>
    <s v="SC"/>
    <x v="44"/>
    <s v="Chesterfield"/>
    <n v="43273"/>
    <n v="806"/>
  </r>
  <r>
    <s v="SC"/>
    <x v="44"/>
    <s v="Clarendon"/>
    <n v="31144"/>
    <n v="696"/>
  </r>
  <r>
    <s v="SC"/>
    <x v="44"/>
    <s v="Colleton"/>
    <n v="38604"/>
    <n v="1133"/>
  </r>
  <r>
    <s v="SC"/>
    <x v="44"/>
    <s v="Darlington"/>
    <n v="62905"/>
    <n v="567"/>
  </r>
  <r>
    <s v="SC"/>
    <x v="44"/>
    <s v="Dillon"/>
    <n v="28292"/>
    <n v="407"/>
  </r>
  <r>
    <s v="SC"/>
    <x v="44"/>
    <s v="Dorchester"/>
    <n v="161540"/>
    <n v="577"/>
  </r>
  <r>
    <s v="SC"/>
    <x v="44"/>
    <s v="Edgefield"/>
    <n v="25657"/>
    <n v="507"/>
  </r>
  <r>
    <s v="SC"/>
    <x v="44"/>
    <s v="Fairfield"/>
    <n v="20948"/>
    <n v="710"/>
  </r>
  <r>
    <s v="SC"/>
    <x v="44"/>
    <s v="Florence"/>
    <n v="137059"/>
    <n v="804"/>
  </r>
  <r>
    <s v="SC"/>
    <x v="44"/>
    <s v="Georgetown"/>
    <n v="63404"/>
    <n v="813.55"/>
  </r>
  <r>
    <s v="SC"/>
    <x v="44"/>
    <s v="Greenville"/>
    <n v="525534"/>
    <n v="795"/>
  </r>
  <r>
    <s v="SC"/>
    <x v="44"/>
    <s v="Greenwood"/>
    <n v="69351"/>
    <n v="463"/>
  </r>
  <r>
    <s v="SC"/>
    <x v="44"/>
    <s v="Hampton"/>
    <n v="18561"/>
    <n v="563"/>
  </r>
  <r>
    <s v="SC"/>
    <x v="44"/>
    <s v="Horry"/>
    <n v="351029"/>
    <n v="1255"/>
  </r>
  <r>
    <s v="SC"/>
    <x v="44"/>
    <s v="Jasper"/>
    <n v="28791"/>
    <n v="700"/>
  </r>
  <r>
    <s v="SC"/>
    <x v="44"/>
    <s v="Kershaw"/>
    <n v="65403"/>
    <n v="740"/>
  </r>
  <r>
    <s v="SC"/>
    <x v="44"/>
    <s v="Lancaster"/>
    <n v="96016"/>
    <n v="555"/>
  </r>
  <r>
    <s v="SC"/>
    <x v="44"/>
    <s v="Laurens"/>
    <n v="67539"/>
    <n v="724"/>
  </r>
  <r>
    <s v="SC"/>
    <x v="44"/>
    <s v="Lee"/>
    <n v="16531"/>
    <n v="411"/>
  </r>
  <r>
    <s v="SC"/>
    <x v="44"/>
    <s v="Lexington"/>
    <n v="293991"/>
    <n v="758"/>
  </r>
  <r>
    <s v="SC"/>
    <x v="44"/>
    <s v="Marion"/>
    <n v="29183"/>
    <n v="485"/>
  </r>
  <r>
    <s v="SC"/>
    <x v="44"/>
    <s v="Marlboro"/>
    <n v="26667"/>
    <n v="394"/>
  </r>
  <r>
    <s v="SC"/>
    <x v="44"/>
    <s v="McCormick"/>
    <n v="9526"/>
    <n v="494"/>
  </r>
  <r>
    <s v="SC"/>
    <x v="44"/>
    <s v="Newberry"/>
    <n v="37719"/>
    <n v="647"/>
  </r>
  <r>
    <s v="SC"/>
    <x v="44"/>
    <s v="Oconee"/>
    <n v="78607"/>
    <n v="674"/>
  </r>
  <r>
    <s v="SC"/>
    <x v="44"/>
    <s v="Orangeburg"/>
    <n v="84223"/>
    <n v="1128"/>
  </r>
  <r>
    <s v="SC"/>
    <x v="44"/>
    <s v="Pickens"/>
    <n v="131404"/>
    <n v="512"/>
  </r>
  <r>
    <s v="SC"/>
    <x v="44"/>
    <s v="Richland"/>
    <n v="416147"/>
    <n v="772"/>
  </r>
  <r>
    <s v="SC"/>
    <x v="44"/>
    <s v="Saluda"/>
    <n v="18862"/>
    <n v="462"/>
  </r>
  <r>
    <s v="SC"/>
    <x v="44"/>
    <s v="Spartanburg"/>
    <n v="327997"/>
    <n v="819"/>
  </r>
  <r>
    <s v="SC"/>
    <x v="44"/>
    <s v="Sumter"/>
    <n v="105556"/>
    <n v="682"/>
  </r>
  <r>
    <s v="SC"/>
    <x v="44"/>
    <s v="Union"/>
    <n v="27244"/>
    <n v="516"/>
  </r>
  <r>
    <s v="SC"/>
    <x v="44"/>
    <s v="Williamsburg"/>
    <n v="31026"/>
    <n v="937"/>
  </r>
  <r>
    <s v="SC"/>
    <x v="44"/>
    <s v="York"/>
    <n v="282090"/>
    <n v="696"/>
  </r>
  <r>
    <s v="SD"/>
    <x v="45"/>
    <s v="Aurora"/>
    <n v="2747"/>
    <n v="708"/>
  </r>
  <r>
    <s v="SD"/>
    <x v="45"/>
    <s v="Beadle"/>
    <n v="19149"/>
    <n v="1259"/>
  </r>
  <r>
    <s v="SD"/>
    <x v="45"/>
    <s v="Bennett"/>
    <n v="3381"/>
    <n v="1185"/>
  </r>
  <r>
    <s v="SD"/>
    <x v="45"/>
    <s v="Bon Homme"/>
    <n v="7003"/>
    <n v="563"/>
  </r>
  <r>
    <s v="SD"/>
    <x v="45"/>
    <s v="Brookings"/>
    <n v="34375"/>
    <n v="794"/>
  </r>
  <r>
    <s v="SD"/>
    <x v="45"/>
    <s v="Brown"/>
    <n v="38301"/>
    <n v="1713"/>
  </r>
  <r>
    <s v="SD"/>
    <x v="45"/>
    <s v="Brule"/>
    <n v="5247"/>
    <n v="819"/>
  </r>
  <r>
    <s v="SD"/>
    <x v="45"/>
    <s v="Buffalo"/>
    <n v="1948"/>
    <n v="471"/>
  </r>
  <r>
    <s v="SD"/>
    <x v="45"/>
    <s v="Butte"/>
    <n v="10243"/>
    <n v="2249"/>
  </r>
  <r>
    <s v="SD"/>
    <x v="45"/>
    <s v="Campbell"/>
    <n v="1377"/>
    <n v="736"/>
  </r>
  <r>
    <s v="SD"/>
    <x v="45"/>
    <s v="Charles Mix"/>
    <n v="9373"/>
    <n v="1098"/>
  </r>
  <r>
    <s v="SD"/>
    <x v="45"/>
    <s v="Clark"/>
    <n v="3837"/>
    <n v="958"/>
  </r>
  <r>
    <s v="SD"/>
    <x v="45"/>
    <s v="Clay"/>
    <n v="14967"/>
    <n v="412"/>
  </r>
  <r>
    <s v="SD"/>
    <x v="45"/>
    <s v="Codington"/>
    <n v="28325"/>
    <n v="688"/>
  </r>
  <r>
    <s v="SD"/>
    <x v="45"/>
    <s v="Corson"/>
    <n v="3902"/>
    <n v="2473"/>
  </r>
  <r>
    <s v="SD"/>
    <x v="45"/>
    <s v="Custer"/>
    <n v="8318"/>
    <n v="1558"/>
  </r>
  <r>
    <s v="SD"/>
    <x v="45"/>
    <s v="Davison"/>
    <n v="19956"/>
    <n v="436"/>
  </r>
  <r>
    <s v="SD"/>
    <x v="45"/>
    <s v="Day"/>
    <n v="5449"/>
    <n v="1029"/>
  </r>
  <r>
    <s v="SD"/>
    <x v="45"/>
    <s v="Deuel"/>
    <n v="4295"/>
    <n v="624"/>
  </r>
  <r>
    <s v="SD"/>
    <x v="45"/>
    <s v="Dewey"/>
    <n v="5239"/>
    <n v="2303"/>
  </r>
  <r>
    <s v="SD"/>
    <x v="45"/>
    <s v="Douglas"/>
    <n v="2835"/>
    <n v="434"/>
  </r>
  <r>
    <s v="SD"/>
    <x v="45"/>
    <s v="Edmunds"/>
    <n v="3986"/>
    <n v="1146"/>
  </r>
  <r>
    <s v="SD"/>
    <x v="45"/>
    <s v="Fall River"/>
    <n v="6973"/>
    <n v="1740"/>
  </r>
  <r>
    <s v="SD"/>
    <x v="45"/>
    <s v="Faulk"/>
    <n v="2125"/>
    <n v="1000"/>
  </r>
  <r>
    <s v="SD"/>
    <x v="45"/>
    <s v="Grant"/>
    <n v="7556"/>
    <n v="682"/>
  </r>
  <r>
    <s v="SD"/>
    <x v="45"/>
    <s v="Gregory"/>
    <n v="3994"/>
    <n v="1016"/>
  </r>
  <r>
    <s v="SD"/>
    <x v="45"/>
    <s v="Haakon"/>
    <n v="1872"/>
    <n v="1813"/>
  </r>
  <r>
    <s v="SD"/>
    <x v="45"/>
    <s v="Hamlin"/>
    <n v="6164"/>
    <n v="511"/>
  </r>
  <r>
    <s v="SD"/>
    <x v="45"/>
    <s v="Hand"/>
    <n v="3145"/>
    <n v="1437"/>
  </r>
  <r>
    <s v="SD"/>
    <x v="45"/>
    <s v="Hanson"/>
    <n v="3461"/>
    <n v="435"/>
  </r>
  <r>
    <s v="SD"/>
    <x v="45"/>
    <s v="Harding"/>
    <n v="1311"/>
    <n v="2671"/>
  </r>
  <r>
    <s v="SD"/>
    <x v="45"/>
    <s v="Hughes"/>
    <n v="17765"/>
    <n v="741"/>
  </r>
  <r>
    <s v="SD"/>
    <x v="45"/>
    <s v="Hutchinson"/>
    <n v="7427"/>
    <n v="813"/>
  </r>
  <r>
    <s v="SD"/>
    <x v="45"/>
    <s v="Hyde"/>
    <n v="1262"/>
    <n v="861"/>
  </r>
  <r>
    <s v="SD"/>
    <x v="45"/>
    <s v="Jackson"/>
    <n v="2806"/>
    <n v="1869"/>
  </r>
  <r>
    <s v="SD"/>
    <x v="45"/>
    <s v="Jerauld"/>
    <n v="1663"/>
    <n v="530"/>
  </r>
  <r>
    <s v="SD"/>
    <x v="45"/>
    <s v="Jones"/>
    <n v="917"/>
    <n v="971"/>
  </r>
  <r>
    <s v="SD"/>
    <x v="45"/>
    <s v="Kingsbury"/>
    <n v="5187"/>
    <n v="838"/>
  </r>
  <r>
    <s v="SD"/>
    <x v="45"/>
    <s v="Lake"/>
    <n v="11059"/>
    <n v="563"/>
  </r>
  <r>
    <s v="SD"/>
    <x v="45"/>
    <s v="Lawrence"/>
    <n v="25768"/>
    <n v="800"/>
  </r>
  <r>
    <s v="SD"/>
    <x v="45"/>
    <s v="Lincoln"/>
    <n v="65161"/>
    <n v="578"/>
  </r>
  <r>
    <s v="SD"/>
    <x v="45"/>
    <s v="Lyman"/>
    <n v="3718"/>
    <n v="1640"/>
  </r>
  <r>
    <s v="SD"/>
    <x v="45"/>
    <s v="Marshall"/>
    <n v="4306"/>
    <n v="1137"/>
  </r>
  <r>
    <s v="SD"/>
    <x v="45"/>
    <s v="McCook"/>
    <n v="5682"/>
    <n v="839"/>
  </r>
  <r>
    <s v="SD"/>
    <x v="45"/>
    <s v="McPherson"/>
    <n v="2411"/>
    <n v="575"/>
  </r>
  <r>
    <s v="SD"/>
    <x v="45"/>
    <s v="Meade"/>
    <n v="29852"/>
    <n v="3471"/>
  </r>
  <r>
    <s v="SD"/>
    <x v="45"/>
    <s v="Mellette"/>
    <n v="1918"/>
    <n v="1307"/>
  </r>
  <r>
    <s v="SD"/>
    <x v="45"/>
    <s v="Miner"/>
    <n v="2298"/>
    <n v="570"/>
  </r>
  <r>
    <s v="SD"/>
    <x v="45"/>
    <s v="Minnehaha"/>
    <n v="197214"/>
    <n v="809"/>
  </r>
  <r>
    <s v="SD"/>
    <x v="45"/>
    <s v="Moody"/>
    <n v="6336"/>
    <n v="520"/>
  </r>
  <r>
    <s v="SD"/>
    <x v="45"/>
    <s v="Oglala Lakota"/>
    <n v="13672"/>
    <n v="2094"/>
  </r>
  <r>
    <s v="SD"/>
    <x v="45"/>
    <s v="Pennington"/>
    <n v="109222"/>
    <n v="2776"/>
  </r>
  <r>
    <s v="SD"/>
    <x v="45"/>
    <s v="Perkins"/>
    <n v="2835"/>
    <n v="2872"/>
  </r>
  <r>
    <s v="SD"/>
    <x v="45"/>
    <s v="Potter"/>
    <n v="2472"/>
    <n v="866"/>
  </r>
  <r>
    <s v="SD"/>
    <x v="45"/>
    <s v="Roberts"/>
    <n v="10280"/>
    <n v="1101"/>
  </r>
  <r>
    <s v="SD"/>
    <x v="45"/>
    <s v="Sanborn"/>
    <n v="2330"/>
    <n v="569"/>
  </r>
  <r>
    <s v="SD"/>
    <x v="45"/>
    <s v="Spink"/>
    <n v="6361"/>
    <n v="1504"/>
  </r>
  <r>
    <s v="SD"/>
    <x v="45"/>
    <s v="Stanley"/>
    <n v="2980"/>
    <n v="1443"/>
  </r>
  <r>
    <s v="SD"/>
    <x v="45"/>
    <s v="Sully"/>
    <n v="1446"/>
    <n v="1007"/>
  </r>
  <r>
    <s v="SD"/>
    <x v="45"/>
    <s v="Todd"/>
    <n v="9319"/>
    <n v="1388"/>
  </r>
  <r>
    <s v="SD"/>
    <x v="45"/>
    <s v="Tripp"/>
    <n v="5624"/>
    <n v="1614"/>
  </r>
  <r>
    <s v="SD"/>
    <x v="45"/>
    <s v="Turner"/>
    <n v="8673"/>
    <n v="617"/>
  </r>
  <r>
    <s v="SD"/>
    <x v="45"/>
    <s v="Union"/>
    <n v="16811"/>
    <n v="460"/>
  </r>
  <r>
    <s v="SD"/>
    <x v="45"/>
    <s v="Walworth"/>
    <n v="5315"/>
    <n v="708"/>
  </r>
  <r>
    <s v="SD"/>
    <x v="45"/>
    <s v="Yankton"/>
    <n v="23310"/>
    <n v="522"/>
  </r>
  <r>
    <s v="SD"/>
    <x v="45"/>
    <s v="Ziebach"/>
    <n v="2413"/>
    <n v="1962"/>
  </r>
  <r>
    <s v="TN"/>
    <x v="46"/>
    <s v="Anderson"/>
    <n v="77123"/>
    <n v="338"/>
  </r>
  <r>
    <s v="TN"/>
    <x v="46"/>
    <s v="Bedford"/>
    <n v="50237"/>
    <n v="474"/>
  </r>
  <r>
    <s v="TN"/>
    <x v="46"/>
    <s v="Benton"/>
    <n v="15864"/>
    <n v="394"/>
  </r>
  <r>
    <s v="TN"/>
    <x v="46"/>
    <s v="Bledsoe"/>
    <n v="14913"/>
    <n v="406"/>
  </r>
  <r>
    <s v="TN"/>
    <x v="46"/>
    <s v="Blount"/>
    <n v="135280"/>
    <n v="559"/>
  </r>
  <r>
    <s v="TN"/>
    <x v="46"/>
    <s v="Bradley"/>
    <n v="108620"/>
    <n v="329"/>
  </r>
  <r>
    <s v="TN"/>
    <x v="46"/>
    <s v="Campbell"/>
    <n v="39272"/>
    <n v="480"/>
  </r>
  <r>
    <s v="TN"/>
    <x v="46"/>
    <s v="Cannon"/>
    <n v="14506"/>
    <n v="266"/>
  </r>
  <r>
    <s v="TN"/>
    <x v="46"/>
    <s v="Carroll"/>
    <n v="28440"/>
    <n v="599"/>
  </r>
  <r>
    <s v="TN"/>
    <x v="46"/>
    <s v="Carter"/>
    <n v="56356"/>
    <n v="341"/>
  </r>
  <r>
    <s v="TN"/>
    <x v="46"/>
    <s v="Cheatham"/>
    <n v="41072"/>
    <n v="303"/>
  </r>
  <r>
    <s v="TN"/>
    <x v="46"/>
    <s v="Chester"/>
    <n v="17341"/>
    <n v="289"/>
  </r>
  <r>
    <s v="TN"/>
    <x v="46"/>
    <s v="Claiborne"/>
    <n v="32043"/>
    <n v="434"/>
  </r>
  <r>
    <s v="TN"/>
    <x v="46"/>
    <s v="Clay"/>
    <n v="7581"/>
    <n v="236"/>
  </r>
  <r>
    <s v="TN"/>
    <x v="46"/>
    <s v="Cocke"/>
    <n v="35999"/>
    <n v="434"/>
  </r>
  <r>
    <s v="TN"/>
    <x v="46"/>
    <s v="Coffee"/>
    <n v="57889"/>
    <n v="429"/>
  </r>
  <r>
    <s v="TN"/>
    <x v="46"/>
    <s v="Crockett"/>
    <n v="13911"/>
    <n v="265"/>
  </r>
  <r>
    <s v="TN"/>
    <x v="46"/>
    <s v="Cumberland"/>
    <n v="61145"/>
    <n v="682"/>
  </r>
  <r>
    <s v="TN"/>
    <x v="46"/>
    <s v="Davidson"/>
    <n v="715884"/>
    <n v="502"/>
  </r>
  <r>
    <s v="TN"/>
    <x v="46"/>
    <s v="Decatur"/>
    <n v="11435"/>
    <n v="333"/>
  </r>
  <r>
    <s v="TN"/>
    <x v="46"/>
    <s v="DeKalb"/>
    <n v="20080"/>
    <n v="304"/>
  </r>
  <r>
    <s v="TN"/>
    <x v="46"/>
    <s v="Dickson"/>
    <n v="54315"/>
    <n v="490"/>
  </r>
  <r>
    <s v="TN"/>
    <x v="46"/>
    <s v="Dyer"/>
    <n v="36801"/>
    <n v="510"/>
  </r>
  <r>
    <s v="TN"/>
    <x v="46"/>
    <s v="Fayette"/>
    <n v="41990"/>
    <n v="705"/>
  </r>
  <r>
    <s v="TN"/>
    <x v="46"/>
    <s v="Fentress"/>
    <n v="18489"/>
    <n v="499"/>
  </r>
  <r>
    <s v="TN"/>
    <x v="46"/>
    <s v="Franklin"/>
    <n v="42774"/>
    <n v="553"/>
  </r>
  <r>
    <s v="TN"/>
    <x v="46"/>
    <s v="Gibson"/>
    <n v="50429"/>
    <n v="603"/>
  </r>
  <r>
    <s v="TN"/>
    <x v="46"/>
    <s v="Giles"/>
    <n v="30346"/>
    <n v="611"/>
  </r>
  <r>
    <s v="TN"/>
    <x v="46"/>
    <s v="Grainger"/>
    <n v="23527"/>
    <n v="280"/>
  </r>
  <r>
    <s v="TN"/>
    <x v="46"/>
    <s v="Greene"/>
    <n v="70152"/>
    <n v="622"/>
  </r>
  <r>
    <s v="TN"/>
    <x v="46"/>
    <s v="Grundy"/>
    <n v="13529"/>
    <n v="361"/>
  </r>
  <r>
    <s v="TN"/>
    <x v="46"/>
    <s v="Hamblen"/>
    <n v="64499"/>
    <n v="161"/>
  </r>
  <r>
    <s v="TN"/>
    <x v="46"/>
    <s v="Hamilton"/>
    <n v="366207"/>
    <n v="543"/>
  </r>
  <r>
    <s v="TN"/>
    <x v="46"/>
    <s v="Hancock"/>
    <n v="6662"/>
    <n v="222"/>
  </r>
  <r>
    <s v="TN"/>
    <x v="46"/>
    <s v="Hardeman"/>
    <n v="25462"/>
    <n v="668"/>
  </r>
  <r>
    <s v="TN"/>
    <x v="46"/>
    <s v="Hardin"/>
    <n v="26831"/>
    <n v="578"/>
  </r>
  <r>
    <s v="TN"/>
    <x v="46"/>
    <s v="Hawkins"/>
    <n v="56721"/>
    <n v="487"/>
  </r>
  <r>
    <s v="TN"/>
    <x v="46"/>
    <s v="Haywood"/>
    <n v="17864"/>
    <n v="533"/>
  </r>
  <r>
    <s v="TN"/>
    <x v="46"/>
    <s v="Henderson"/>
    <n v="27842"/>
    <n v="520"/>
  </r>
  <r>
    <s v="TN"/>
    <x v="46"/>
    <s v="Henry"/>
    <n v="32199"/>
    <n v="562"/>
  </r>
  <r>
    <s v="TN"/>
    <x v="46"/>
    <s v="Hickman"/>
    <n v="24925"/>
    <n v="613"/>
  </r>
  <r>
    <s v="TN"/>
    <x v="46"/>
    <s v="Houston"/>
    <n v="8283"/>
    <n v="200"/>
  </r>
  <r>
    <s v="TN"/>
    <x v="46"/>
    <s v="Humphreys"/>
    <n v="18990"/>
    <n v="532"/>
  </r>
  <r>
    <s v="TN"/>
    <x v="46"/>
    <s v="Jackson"/>
    <n v="11617"/>
    <n v="309"/>
  </r>
  <r>
    <s v="TN"/>
    <x v="46"/>
    <s v="Jefferson"/>
    <n v="54683"/>
    <n v="274"/>
  </r>
  <r>
    <s v="TN"/>
    <x v="46"/>
    <s v="Johnson"/>
    <n v="17948"/>
    <n v="299"/>
  </r>
  <r>
    <s v="TN"/>
    <x v="46"/>
    <s v="Knox"/>
    <n v="478971"/>
    <n v="509"/>
  </r>
  <r>
    <s v="TN"/>
    <x v="46"/>
    <s v="Lake"/>
    <n v="7005"/>
    <n v="163"/>
  </r>
  <r>
    <s v="TN"/>
    <x v="46"/>
    <s v="Lauderdale"/>
    <n v="25143"/>
    <n v="470"/>
  </r>
  <r>
    <s v="TN"/>
    <x v="46"/>
    <s v="Lawrence"/>
    <n v="44159"/>
    <n v="617"/>
  </r>
  <r>
    <s v="TN"/>
    <x v="46"/>
    <s v="Lewis"/>
    <n v="12582"/>
    <n v="282"/>
  </r>
  <r>
    <s v="TN"/>
    <x v="46"/>
    <s v="Lincoln"/>
    <n v="35319"/>
    <n v="570"/>
  </r>
  <r>
    <s v="TN"/>
    <x v="46"/>
    <s v="Loudon"/>
    <n v="54886"/>
    <n v="229"/>
  </r>
  <r>
    <s v="TN"/>
    <x v="46"/>
    <s v="Macon"/>
    <n v="25216"/>
    <n v="500"/>
  </r>
  <r>
    <s v="TN"/>
    <x v="46"/>
    <s v="Madison"/>
    <n v="98823"/>
    <n v="375"/>
  </r>
  <r>
    <s v="TN"/>
    <x v="46"/>
    <s v="Marion"/>
    <n v="28837"/>
    <n v="613"/>
  </r>
  <r>
    <s v="TN"/>
    <x v="46"/>
    <s v="Marshall"/>
    <n v="34318"/>
    <n v="430"/>
  </r>
  <r>
    <s v="TN"/>
    <x v="46"/>
    <s v="Maury"/>
    <n v="100974"/>
    <n v="560"/>
  </r>
  <r>
    <s v="TN"/>
    <x v="46"/>
    <s v="McMinn"/>
    <n v="53276"/>
    <n v="430"/>
  </r>
  <r>
    <s v="TN"/>
    <x v="46"/>
    <s v="McNairy"/>
    <n v="25866"/>
    <n v="557"/>
  </r>
  <r>
    <s v="TN"/>
    <x v="46"/>
    <s v="Meigs"/>
    <n v="12758"/>
    <n v="195"/>
  </r>
  <r>
    <s v="TN"/>
    <x v="46"/>
    <s v="Monroe"/>
    <n v="46250"/>
    <n v="635"/>
  </r>
  <r>
    <s v="TN"/>
    <x v="46"/>
    <s v="Montgomery"/>
    <n v="220069"/>
    <n v="539"/>
  </r>
  <r>
    <s v="TN"/>
    <x v="46"/>
    <s v="Moore"/>
    <n v="6461"/>
    <n v="129"/>
  </r>
  <r>
    <s v="TN"/>
    <x v="46"/>
    <s v="Morgan"/>
    <n v="21035"/>
    <n v="522"/>
  </r>
  <r>
    <s v="TN"/>
    <x v="46"/>
    <s v="Obion"/>
    <n v="30787"/>
    <n v="545"/>
  </r>
  <r>
    <s v="TN"/>
    <x v="46"/>
    <s v="Overton"/>
    <n v="22511"/>
    <n v="433"/>
  </r>
  <r>
    <s v="TN"/>
    <x v="46"/>
    <s v="Perry"/>
    <n v="8366"/>
    <n v="415"/>
  </r>
  <r>
    <s v="TN"/>
    <x v="46"/>
    <s v="Pickett"/>
    <n v="5001"/>
    <n v="163"/>
  </r>
  <r>
    <s v="TN"/>
    <x v="46"/>
    <s v="Polk"/>
    <n v="17544"/>
    <n v="435"/>
  </r>
  <r>
    <s v="TN"/>
    <x v="46"/>
    <s v="Putnam"/>
    <n v="79854"/>
    <n v="401"/>
  </r>
  <r>
    <s v="TN"/>
    <x v="46"/>
    <s v="Rhea"/>
    <n v="32870"/>
    <n v="316"/>
  </r>
  <r>
    <s v="TN"/>
    <x v="46"/>
    <s v="Roane"/>
    <n v="53404"/>
    <n v="361"/>
  </r>
  <r>
    <s v="TN"/>
    <x v="46"/>
    <s v="Robertson"/>
    <n v="72803"/>
    <n v="477"/>
  </r>
  <r>
    <s v="TN"/>
    <x v="46"/>
    <s v="Rutherford"/>
    <n v="341486"/>
    <n v="619"/>
  </r>
  <r>
    <s v="TN"/>
    <x v="46"/>
    <s v="Scott"/>
    <n v="21850"/>
    <n v="532"/>
  </r>
  <r>
    <s v="TN"/>
    <x v="46"/>
    <s v="Sequatchie"/>
    <n v="15826"/>
    <n v="266"/>
  </r>
  <r>
    <s v="TN"/>
    <x v="46"/>
    <s v="Sevier"/>
    <n v="98380"/>
    <n v="592"/>
  </r>
  <r>
    <s v="TN"/>
    <x v="46"/>
    <s v="Shelby"/>
    <n v="929744"/>
    <n v="755"/>
  </r>
  <r>
    <s v="TN"/>
    <x v="46"/>
    <s v="Smith"/>
    <n v="19904"/>
    <n v="314"/>
  </r>
  <r>
    <s v="TN"/>
    <x v="46"/>
    <s v="Stewart"/>
    <n v="13657"/>
    <n v="458"/>
  </r>
  <r>
    <s v="TN"/>
    <x v="46"/>
    <s v="Sullivan"/>
    <n v="158163"/>
    <n v="413"/>
  </r>
  <r>
    <s v="TN"/>
    <x v="46"/>
    <s v="Sumner"/>
    <n v="196281"/>
    <n v="529"/>
  </r>
  <r>
    <s v="TN"/>
    <x v="46"/>
    <s v="Tipton"/>
    <n v="60970"/>
    <n v="459"/>
  </r>
  <r>
    <s v="TN"/>
    <x v="46"/>
    <s v="Trousdale"/>
    <n v="11615"/>
    <n v="114"/>
  </r>
  <r>
    <s v="TN"/>
    <x v="46"/>
    <s v="Unicoi"/>
    <n v="17928"/>
    <n v="186"/>
  </r>
  <r>
    <s v="TN"/>
    <x v="46"/>
    <s v="Union"/>
    <n v="19802"/>
    <n v="224"/>
  </r>
  <r>
    <s v="TN"/>
    <x v="46"/>
    <s v="Van Buren"/>
    <n v="6168"/>
    <n v="247"/>
  </r>
  <r>
    <s v="TN"/>
    <x v="46"/>
    <s v="Warren"/>
    <n v="40953"/>
    <n v="433"/>
  </r>
  <r>
    <s v="TN"/>
    <x v="46"/>
    <s v="Washington"/>
    <n v="133001"/>
    <n v="326"/>
  </r>
  <r>
    <s v="TN"/>
    <x v="46"/>
    <s v="Wayne"/>
    <n v="16232"/>
    <n v="734"/>
  </r>
  <r>
    <s v="TN"/>
    <x v="46"/>
    <s v="Weakley"/>
    <n v="32902"/>
    <n v="580"/>
  </r>
  <r>
    <s v="TN"/>
    <x v="46"/>
    <s v="White"/>
    <n v="27351"/>
    <n v="377"/>
  </r>
  <r>
    <s v="TN"/>
    <x v="46"/>
    <s v="Williamson"/>
    <n v="247726"/>
    <n v="582"/>
  </r>
  <r>
    <s v="TN"/>
    <x v="46"/>
    <s v="Wilson"/>
    <n v="147737"/>
    <n v="571"/>
  </r>
  <r>
    <s v="TX"/>
    <x v="47"/>
    <s v="Anderson"/>
    <n v="57922"/>
    <n v="1071"/>
  </r>
  <r>
    <s v="TX"/>
    <x v="47"/>
    <s v="Andrews"/>
    <n v="18610"/>
    <n v="1501"/>
  </r>
  <r>
    <s v="TX"/>
    <x v="47"/>
    <s v="Angelina"/>
    <n v="86395"/>
    <n v="802"/>
  </r>
  <r>
    <s v="TX"/>
    <x v="47"/>
    <s v="Aransas"/>
    <n v="23830"/>
    <n v="252"/>
  </r>
  <r>
    <s v="TX"/>
    <x v="47"/>
    <s v="Archer"/>
    <n v="8560"/>
    <n v="910"/>
  </r>
  <r>
    <s v="TX"/>
    <x v="47"/>
    <s v="Armstrong"/>
    <n v="1848"/>
    <n v="914"/>
  </r>
  <r>
    <s v="TX"/>
    <x v="47"/>
    <s v="Atascosa"/>
    <n v="48981"/>
    <n v="1232"/>
  </r>
  <r>
    <s v="TX"/>
    <x v="47"/>
    <s v="Austin"/>
    <n v="30167"/>
    <n v="653"/>
  </r>
  <r>
    <s v="TX"/>
    <x v="47"/>
    <s v="Bailey"/>
    <n v="6904"/>
    <n v="827"/>
  </r>
  <r>
    <s v="TX"/>
    <x v="47"/>
    <s v="Bandera"/>
    <n v="20851"/>
    <n v="792"/>
  </r>
  <r>
    <s v="TX"/>
    <x v="47"/>
    <s v="Bastrop"/>
    <n v="97216"/>
    <n v="888"/>
  </r>
  <r>
    <s v="TX"/>
    <x v="47"/>
    <s v="Baylor"/>
    <n v="3465"/>
    <n v="871"/>
  </r>
  <r>
    <s v="TX"/>
    <x v="47"/>
    <s v="Bee"/>
    <n v="31047"/>
    <n v="880"/>
  </r>
  <r>
    <s v="TX"/>
    <x v="47"/>
    <s v="Bell"/>
    <n v="370647"/>
    <n v="1059"/>
  </r>
  <r>
    <s v="TX"/>
    <x v="47"/>
    <s v="Bexar"/>
    <n v="2009324"/>
    <n v="1247"/>
  </r>
  <r>
    <s v="TX"/>
    <x v="47"/>
    <s v="Blanco"/>
    <n v="11374"/>
    <n v="711"/>
  </r>
  <r>
    <s v="TX"/>
    <x v="47"/>
    <s v="Borden"/>
    <n v="631"/>
    <n v="899"/>
  </r>
  <r>
    <s v="TX"/>
    <x v="47"/>
    <s v="Bosque"/>
    <n v="18235"/>
    <n v="989"/>
  </r>
  <r>
    <s v="TX"/>
    <x v="47"/>
    <s v="Bowie"/>
    <n v="92893"/>
    <n v="888"/>
  </r>
  <r>
    <s v="TX"/>
    <x v="47"/>
    <s v="Brazoria"/>
    <n v="372031"/>
    <n v="1387"/>
  </r>
  <r>
    <s v="TX"/>
    <x v="47"/>
    <s v="Brazos"/>
    <n v="233849"/>
    <n v="586"/>
  </r>
  <r>
    <s v="TX"/>
    <x v="47"/>
    <s v="Brewster"/>
    <n v="9546"/>
    <n v="6193"/>
  </r>
  <r>
    <s v="TX"/>
    <x v="47"/>
    <s v="Briscoe"/>
    <n v="1435"/>
    <n v="900"/>
  </r>
  <r>
    <s v="TX"/>
    <x v="47"/>
    <s v="Brooks"/>
    <n v="7076"/>
    <n v="943"/>
  </r>
  <r>
    <s v="TX"/>
    <x v="47"/>
    <s v="Brown"/>
    <n v="38095"/>
    <n v="944"/>
  </r>
  <r>
    <s v="TX"/>
    <x v="47"/>
    <s v="Burleson"/>
    <n v="17642"/>
    <n v="666"/>
  </r>
  <r>
    <s v="TX"/>
    <x v="47"/>
    <s v="Burnet"/>
    <n v="49130"/>
    <n v="995"/>
  </r>
  <r>
    <s v="TX"/>
    <x v="47"/>
    <s v="Caldwell"/>
    <n v="45883"/>
    <n v="546"/>
  </r>
  <r>
    <s v="TX"/>
    <x v="47"/>
    <s v="Calhoun"/>
    <n v="20106"/>
    <n v="512"/>
  </r>
  <r>
    <s v="TX"/>
    <x v="47"/>
    <s v="Callahan"/>
    <n v="13708"/>
    <n v="899"/>
  </r>
  <r>
    <s v="TX"/>
    <x v="47"/>
    <s v="Cameron"/>
    <n v="421017"/>
    <n v="906"/>
  </r>
  <r>
    <s v="TX"/>
    <x v="47"/>
    <s v="Camp"/>
    <n v="12464"/>
    <n v="196"/>
  </r>
  <r>
    <s v="TX"/>
    <x v="47"/>
    <s v="Carson"/>
    <n v="5807"/>
    <n v="923"/>
  </r>
  <r>
    <s v="TX"/>
    <x v="47"/>
    <s v="Cass"/>
    <n v="28454"/>
    <n v="938"/>
  </r>
  <r>
    <s v="TX"/>
    <x v="47"/>
    <s v="Castro"/>
    <n v="7371"/>
    <n v="898"/>
  </r>
  <r>
    <s v="TX"/>
    <x v="47"/>
    <s v="Chambers"/>
    <n v="46571"/>
    <n v="599"/>
  </r>
  <r>
    <s v="TX"/>
    <x v="47"/>
    <s v="Cherokee"/>
    <n v="50412"/>
    <n v="1052"/>
  </r>
  <r>
    <s v="TX"/>
    <x v="47"/>
    <s v="Childress"/>
    <n v="6664"/>
    <n v="710"/>
  </r>
  <r>
    <s v="TX"/>
    <x v="47"/>
    <s v="Clay"/>
    <n v="10218"/>
    <n v="1098"/>
  </r>
  <r>
    <s v="TX"/>
    <x v="47"/>
    <s v="Cochran"/>
    <n v="2547"/>
    <n v="775"/>
  </r>
  <r>
    <s v="TX"/>
    <x v="47"/>
    <s v="Coke"/>
    <n v="3285"/>
    <n v="899"/>
  </r>
  <r>
    <s v="TX"/>
    <x v="47"/>
    <s v="Coleman"/>
    <n v="7684"/>
    <n v="1273"/>
  </r>
  <r>
    <s v="TX"/>
    <x v="47"/>
    <s v="Collin"/>
    <n v="1064465"/>
    <n v="848"/>
  </r>
  <r>
    <s v="TX"/>
    <x v="47"/>
    <s v="Collingsworth"/>
    <n v="2652"/>
    <n v="919"/>
  </r>
  <r>
    <s v="TX"/>
    <x v="47"/>
    <s v="Colorado"/>
    <n v="20557"/>
    <n v="963"/>
  </r>
  <r>
    <s v="TX"/>
    <x v="47"/>
    <s v="Comal"/>
    <n v="161501"/>
    <n v="562"/>
  </r>
  <r>
    <s v="TX"/>
    <x v="47"/>
    <s v="Comanche"/>
    <n v="13594"/>
    <n v="938"/>
  </r>
  <r>
    <s v="TX"/>
    <x v="47"/>
    <s v="Concho"/>
    <n v="3303"/>
    <n v="992"/>
  </r>
  <r>
    <s v="TX"/>
    <x v="47"/>
    <s v="Cooke"/>
    <n v="41668"/>
    <n v="875"/>
  </r>
  <r>
    <s v="TX"/>
    <x v="47"/>
    <s v="Coryell"/>
    <n v="83093"/>
    <n v="1052"/>
  </r>
  <r>
    <s v="TX"/>
    <x v="47"/>
    <s v="Cottle"/>
    <n v="1380"/>
    <n v="901"/>
  </r>
  <r>
    <s v="TX"/>
    <x v="47"/>
    <s v="Crane"/>
    <n v="4675"/>
    <n v="786"/>
  </r>
  <r>
    <s v="TX"/>
    <x v="47"/>
    <s v="Crockett"/>
    <n v="3098"/>
    <n v="2808"/>
  </r>
  <r>
    <s v="TX"/>
    <x v="47"/>
    <s v="Crosby"/>
    <n v="5133"/>
    <n v="900"/>
  </r>
  <r>
    <s v="TX"/>
    <x v="47"/>
    <s v="Culberson"/>
    <n v="2188"/>
    <n v="3813"/>
  </r>
  <r>
    <s v="TX"/>
    <x v="47"/>
    <s v="Dallam"/>
    <n v="7115"/>
    <n v="1505"/>
  </r>
  <r>
    <s v="TX"/>
    <x v="47"/>
    <s v="Dallas"/>
    <n v="2613539"/>
    <n v="880"/>
  </r>
  <r>
    <s v="TX"/>
    <x v="47"/>
    <s v="Dawson"/>
    <n v="12456"/>
    <n v="902"/>
  </r>
  <r>
    <s v="TX"/>
    <x v="47"/>
    <s v="Deaf Smith"/>
    <n v="18583"/>
    <n v="1497"/>
  </r>
  <r>
    <s v="TX"/>
    <x v="47"/>
    <s v="Delta"/>
    <n v="5230"/>
    <n v="277"/>
  </r>
  <r>
    <s v="TX"/>
    <x v="47"/>
    <s v="Denton"/>
    <n v="906422"/>
    <n v="888"/>
  </r>
  <r>
    <s v="TX"/>
    <x v="47"/>
    <s v="DeWitt"/>
    <n v="19824"/>
    <n v="909"/>
  </r>
  <r>
    <s v="TX"/>
    <x v="47"/>
    <s v="Dickens"/>
    <n v="1770"/>
    <n v="904"/>
  </r>
  <r>
    <s v="TX"/>
    <x v="47"/>
    <s v="Dimmit"/>
    <n v="8615"/>
    <n v="1331"/>
  </r>
  <r>
    <s v="TX"/>
    <x v="47"/>
    <s v="Donley"/>
    <n v="3258"/>
    <n v="930"/>
  </r>
  <r>
    <s v="TX"/>
    <x v="47"/>
    <s v="Duval"/>
    <n v="9831"/>
    <n v="1793"/>
  </r>
  <r>
    <s v="TX"/>
    <x v="47"/>
    <s v="Eastland"/>
    <n v="17725"/>
    <n v="926"/>
  </r>
  <r>
    <s v="TX"/>
    <x v="47"/>
    <s v="Ector"/>
    <n v="165171"/>
    <n v="901"/>
  </r>
  <r>
    <s v="TX"/>
    <x v="47"/>
    <s v="Edwards"/>
    <n v="1422"/>
    <n v="2120"/>
  </r>
  <r>
    <s v="TX"/>
    <x v="47"/>
    <s v="El Paso"/>
    <n v="865657"/>
    <n v="1013"/>
  </r>
  <r>
    <s v="TX"/>
    <x v="47"/>
    <s v="Ellis"/>
    <n v="192455"/>
    <n v="940"/>
  </r>
  <r>
    <s v="TX"/>
    <x v="47"/>
    <s v="Erath"/>
    <n v="42545"/>
    <n v="1086"/>
  </r>
  <r>
    <s v="TX"/>
    <x v="47"/>
    <s v="Falls"/>
    <n v="16968"/>
    <n v="769"/>
  </r>
  <r>
    <s v="TX"/>
    <x v="47"/>
    <s v="Fannin"/>
    <n v="35662"/>
    <n v="892"/>
  </r>
  <r>
    <s v="TX"/>
    <x v="47"/>
    <s v="Fayette"/>
    <n v="24435"/>
    <n v="950"/>
  </r>
  <r>
    <s v="TX"/>
    <x v="47"/>
    <s v="Fisher"/>
    <n v="3672"/>
    <n v="901"/>
  </r>
  <r>
    <s v="TX"/>
    <x v="47"/>
    <s v="Floyd"/>
    <n v="5402"/>
    <n v="992"/>
  </r>
  <r>
    <s v="TX"/>
    <x v="47"/>
    <s v="Foard"/>
    <n v="1095"/>
    <n v="707"/>
  </r>
  <r>
    <s v="TX"/>
    <x v="47"/>
    <s v="Fort Bend"/>
    <n v="822779"/>
    <n v="875"/>
  </r>
  <r>
    <s v="TX"/>
    <x v="47"/>
    <s v="Franklin"/>
    <n v="10359"/>
    <n v="286"/>
  </r>
  <r>
    <s v="TX"/>
    <x v="47"/>
    <s v="Freestone"/>
    <n v="19435"/>
    <n v="885"/>
  </r>
  <r>
    <s v="TX"/>
    <x v="47"/>
    <s v="Frio"/>
    <n v="18385"/>
    <n v="1133"/>
  </r>
  <r>
    <s v="TX"/>
    <x v="47"/>
    <s v="Gaines"/>
    <n v="21598"/>
    <n v="1502"/>
  </r>
  <r>
    <s v="TX"/>
    <x v="47"/>
    <s v="Galveston"/>
    <n v="350682"/>
    <n v="399"/>
  </r>
  <r>
    <s v="TX"/>
    <x v="47"/>
    <s v="Garza"/>
    <n v="5816"/>
    <n v="896"/>
  </r>
  <r>
    <s v="TX"/>
    <x v="47"/>
    <s v="Gillespie"/>
    <n v="26725"/>
    <n v="1061"/>
  </r>
  <r>
    <s v="TX"/>
    <x v="47"/>
    <s v="Glasscock"/>
    <n v="1116"/>
    <n v="901"/>
  </r>
  <r>
    <s v="TX"/>
    <x v="47"/>
    <s v="Goliad"/>
    <n v="7012"/>
    <n v="854"/>
  </r>
  <r>
    <s v="TX"/>
    <x v="47"/>
    <s v="Gonzales"/>
    <n v="19653"/>
    <n v="1068"/>
  </r>
  <r>
    <s v="TX"/>
    <x v="47"/>
    <s v="Gray"/>
    <n v="21227"/>
    <n v="928"/>
  </r>
  <r>
    <s v="TX"/>
    <x v="47"/>
    <s v="Grayson"/>
    <n v="135543"/>
    <n v="934"/>
  </r>
  <r>
    <s v="TX"/>
    <x v="47"/>
    <s v="Gregg"/>
    <n v="124239"/>
    <n v="274"/>
  </r>
  <r>
    <s v="TX"/>
    <x v="47"/>
    <s v="Grimes"/>
    <n v="29268"/>
    <n v="794"/>
  </r>
  <r>
    <s v="TX"/>
    <x v="47"/>
    <s v="Guadalupe"/>
    <n v="172706"/>
    <n v="711"/>
  </r>
  <r>
    <s v="TX"/>
    <x v="47"/>
    <s v="Hale"/>
    <n v="32522"/>
    <n v="1005"/>
  </r>
  <r>
    <s v="TX"/>
    <x v="47"/>
    <s v="Hall"/>
    <n v="2825"/>
    <n v="903"/>
  </r>
  <r>
    <s v="TX"/>
    <x v="47"/>
    <s v="Hamilton"/>
    <n v="8222"/>
    <n v="836"/>
  </r>
  <r>
    <s v="TX"/>
    <x v="47"/>
    <s v="Hansford"/>
    <n v="5285"/>
    <n v="920"/>
  </r>
  <r>
    <s v="TX"/>
    <x v="47"/>
    <s v="Hardeman"/>
    <n v="3549"/>
    <n v="695"/>
  </r>
  <r>
    <s v="TX"/>
    <x v="47"/>
    <s v="Hardin"/>
    <n v="56231"/>
    <n v="894"/>
  </r>
  <r>
    <s v="TX"/>
    <x v="47"/>
    <s v="Harris"/>
    <n v="4731145"/>
    <n v="1729"/>
  </r>
  <r>
    <s v="TX"/>
    <x v="47"/>
    <s v="Harrison"/>
    <n v="68839"/>
    <n v="899"/>
  </r>
  <r>
    <s v="TX"/>
    <x v="47"/>
    <s v="Hartley"/>
    <n v="5382"/>
    <n v="1462"/>
  </r>
  <r>
    <s v="TX"/>
    <x v="47"/>
    <s v="Haskell"/>
    <n v="5416"/>
    <n v="903"/>
  </r>
  <r>
    <s v="TX"/>
    <x v="47"/>
    <s v="Hays"/>
    <n v="241067"/>
    <n v="678"/>
  </r>
  <r>
    <s v="TX"/>
    <x v="47"/>
    <s v="Hemphill"/>
    <n v="3382"/>
    <n v="910"/>
  </r>
  <r>
    <s v="TX"/>
    <x v="47"/>
    <s v="Henderson"/>
    <n v="82150"/>
    <n v="874"/>
  </r>
  <r>
    <s v="TX"/>
    <x v="47"/>
    <s v="Hidalgo"/>
    <n v="870781"/>
    <n v="1569"/>
  </r>
  <r>
    <s v="TX"/>
    <x v="47"/>
    <s v="Hill"/>
    <n v="35874"/>
    <n v="962"/>
  </r>
  <r>
    <s v="TX"/>
    <x v="47"/>
    <s v="Hockley"/>
    <n v="21537"/>
    <n v="908"/>
  </r>
  <r>
    <s v="TX"/>
    <x v="47"/>
    <s v="Hood"/>
    <n v="61598"/>
    <n v="422"/>
  </r>
  <r>
    <s v="TX"/>
    <x v="47"/>
    <s v="Hopkins"/>
    <n v="36787"/>
    <n v="785"/>
  </r>
  <r>
    <s v="TX"/>
    <x v="47"/>
    <s v="Houston"/>
    <n v="22066"/>
    <n v="1231"/>
  </r>
  <r>
    <s v="TX"/>
    <x v="47"/>
    <s v="Howard"/>
    <n v="34860"/>
    <n v="903"/>
  </r>
  <r>
    <s v="TX"/>
    <x v="47"/>
    <s v="Hudspeth"/>
    <n v="3202"/>
    <n v="4571"/>
  </r>
  <r>
    <s v="TX"/>
    <x v="47"/>
    <s v="Hunt"/>
    <n v="99956"/>
    <n v="841"/>
  </r>
  <r>
    <s v="TX"/>
    <x v="47"/>
    <s v="Hutchinson"/>
    <n v="20617"/>
    <n v="887"/>
  </r>
  <r>
    <s v="TX"/>
    <x v="47"/>
    <s v="Irion"/>
    <n v="1513"/>
    <n v="1052"/>
  </r>
  <r>
    <s v="TX"/>
    <x v="47"/>
    <s v="Jack"/>
    <n v="8472"/>
    <n v="917"/>
  </r>
  <r>
    <s v="TX"/>
    <x v="47"/>
    <s v="Jackson"/>
    <n v="14988"/>
    <n v="830"/>
  </r>
  <r>
    <s v="TX"/>
    <x v="47"/>
    <s v="Jasper"/>
    <n v="32980"/>
    <n v="938"/>
  </r>
  <r>
    <s v="TX"/>
    <x v="47"/>
    <s v="Jeff Davis"/>
    <n v="1996"/>
    <n v="2265"/>
  </r>
  <r>
    <s v="TX"/>
    <x v="47"/>
    <s v="Jefferson"/>
    <n v="256526"/>
    <n v="904"/>
  </r>
  <r>
    <s v="TX"/>
    <x v="47"/>
    <s v="Jim Hogg"/>
    <n v="4838"/>
    <n v="1136"/>
  </r>
  <r>
    <s v="TX"/>
    <x v="47"/>
    <s v="Jim Wells"/>
    <n v="38891"/>
    <n v="865"/>
  </r>
  <r>
    <s v="TX"/>
    <x v="47"/>
    <s v="Johnson"/>
    <n v="179927"/>
    <n v="729"/>
  </r>
  <r>
    <s v="TX"/>
    <x v="47"/>
    <s v="Jones"/>
    <n v="19663"/>
    <n v="931"/>
  </r>
  <r>
    <s v="TX"/>
    <x v="47"/>
    <s v="Karnes"/>
    <n v="14710"/>
    <n v="750"/>
  </r>
  <r>
    <s v="TX"/>
    <x v="47"/>
    <s v="Kaufman"/>
    <n v="145310"/>
    <n v="786"/>
  </r>
  <r>
    <s v="TX"/>
    <x v="47"/>
    <s v="Kendall"/>
    <n v="44279"/>
    <n v="662"/>
  </r>
  <r>
    <s v="TX"/>
    <x v="47"/>
    <s v="Kenedy"/>
    <n v="350"/>
    <n v="1457"/>
  </r>
  <r>
    <s v="TX"/>
    <x v="47"/>
    <s v="Kent"/>
    <n v="753"/>
    <n v="902"/>
  </r>
  <r>
    <s v="TX"/>
    <x v="47"/>
    <s v="Kerr"/>
    <n v="52598"/>
    <n v="1106"/>
  </r>
  <r>
    <s v="TX"/>
    <x v="47"/>
    <s v="Kimble"/>
    <n v="4286"/>
    <n v="1251"/>
  </r>
  <r>
    <s v="TX"/>
    <x v="47"/>
    <s v="King"/>
    <n v="265"/>
    <n v="912"/>
  </r>
  <r>
    <s v="TX"/>
    <x v="47"/>
    <s v="Kinney"/>
    <n v="3129"/>
    <n v="1364"/>
  </r>
  <r>
    <s v="TX"/>
    <x v="47"/>
    <s v="Kleberg"/>
    <n v="31040"/>
    <n v="871"/>
  </r>
  <r>
    <s v="TX"/>
    <x v="47"/>
    <s v="Knox"/>
    <n v="3353"/>
    <n v="854"/>
  </r>
  <r>
    <s v="TX"/>
    <x v="47"/>
    <s v="La Salle"/>
    <n v="6664"/>
    <n v="1489"/>
  </r>
  <r>
    <s v="TX"/>
    <x v="47"/>
    <s v="Lamar"/>
    <n v="50088"/>
    <n v="917"/>
  </r>
  <r>
    <s v="TX"/>
    <x v="47"/>
    <s v="Lamb"/>
    <n v="13045"/>
    <n v="1016"/>
  </r>
  <r>
    <s v="TX"/>
    <x v="47"/>
    <s v="Lampasas"/>
    <n v="21627"/>
    <n v="712"/>
  </r>
  <r>
    <s v="TX"/>
    <x v="47"/>
    <s v="Lavaca"/>
    <n v="20337"/>
    <n v="970"/>
  </r>
  <r>
    <s v="TX"/>
    <x v="47"/>
    <s v="Lee"/>
    <n v="17478"/>
    <n v="629"/>
  </r>
  <r>
    <s v="TX"/>
    <x v="47"/>
    <s v="Leon"/>
    <n v="15719"/>
    <n v="1072"/>
  </r>
  <r>
    <s v="TX"/>
    <x v="47"/>
    <s v="Liberty"/>
    <n v="91628"/>
    <n v="1160"/>
  </r>
  <r>
    <s v="TX"/>
    <x v="47"/>
    <s v="Limestone"/>
    <n v="22146"/>
    <n v="909"/>
  </r>
  <r>
    <s v="TX"/>
    <x v="47"/>
    <s v="Lipscomb"/>
    <n v="3059"/>
    <n v="932"/>
  </r>
  <r>
    <s v="TX"/>
    <x v="47"/>
    <s v="Live Oak"/>
    <n v="11335"/>
    <n v="1036"/>
  </r>
  <r>
    <s v="TX"/>
    <x v="47"/>
    <s v="Llano"/>
    <n v="21243"/>
    <n v="935"/>
  </r>
  <r>
    <s v="TX"/>
    <x v="47"/>
    <s v="Loving"/>
    <n v="64"/>
    <n v="673"/>
  </r>
  <r>
    <s v="TX"/>
    <x v="47"/>
    <s v="Lubbock"/>
    <n v="310639"/>
    <n v="900"/>
  </r>
  <r>
    <s v="TX"/>
    <x v="47"/>
    <s v="Lynn"/>
    <n v="5596"/>
    <n v="892"/>
  </r>
  <r>
    <s v="TX"/>
    <x v="47"/>
    <s v="Madison"/>
    <n v="13455"/>
    <n v="472"/>
  </r>
  <r>
    <s v="TX"/>
    <x v="47"/>
    <s v="Marion"/>
    <n v="9725"/>
    <n v="381"/>
  </r>
  <r>
    <s v="TX"/>
    <x v="47"/>
    <s v="Martin"/>
    <n v="5237"/>
    <n v="915"/>
  </r>
  <r>
    <s v="TX"/>
    <x v="47"/>
    <s v="Mason"/>
    <n v="3953"/>
    <n v="932"/>
  </r>
  <r>
    <s v="TX"/>
    <x v="47"/>
    <s v="Matagorda"/>
    <n v="36255"/>
    <n v="1114"/>
  </r>
  <r>
    <s v="TX"/>
    <x v="47"/>
    <s v="Maverick"/>
    <n v="57887"/>
    <n v="1280"/>
  </r>
  <r>
    <s v="TX"/>
    <x v="47"/>
    <s v="McCulloch"/>
    <n v="7630"/>
    <n v="1069"/>
  </r>
  <r>
    <s v="TX"/>
    <x v="47"/>
    <s v="McLennan"/>
    <n v="260579"/>
    <n v="1042"/>
  </r>
  <r>
    <s v="TX"/>
    <x v="47"/>
    <s v="McMullen"/>
    <n v="600"/>
    <n v="1113"/>
  </r>
  <r>
    <s v="TX"/>
    <x v="47"/>
    <s v="Medina"/>
    <n v="50748"/>
    <n v="1328"/>
  </r>
  <r>
    <s v="TX"/>
    <x v="47"/>
    <s v="Menard"/>
    <n v="1962"/>
    <n v="902"/>
  </r>
  <r>
    <s v="TX"/>
    <x v="47"/>
    <s v="Midland"/>
    <n v="169983"/>
    <n v="900"/>
  </r>
  <r>
    <s v="TX"/>
    <x v="47"/>
    <s v="Milam"/>
    <n v="24754"/>
    <n v="1017"/>
  </r>
  <r>
    <s v="TX"/>
    <x v="47"/>
    <s v="Mills"/>
    <n v="4456"/>
    <n v="748"/>
  </r>
  <r>
    <s v="TX"/>
    <x v="47"/>
    <s v="Mitchell"/>
    <n v="8990"/>
    <n v="910"/>
  </r>
  <r>
    <s v="TX"/>
    <x v="47"/>
    <s v="Montague"/>
    <n v="19965"/>
    <n v="931"/>
  </r>
  <r>
    <s v="TX"/>
    <x v="47"/>
    <s v="Montgomery"/>
    <n v="620443"/>
    <n v="1044"/>
  </r>
  <r>
    <s v="TX"/>
    <x v="47"/>
    <s v="Moore"/>
    <n v="21358"/>
    <n v="900"/>
  </r>
  <r>
    <s v="TX"/>
    <x v="47"/>
    <s v="Morris"/>
    <n v="11973"/>
    <n v="254"/>
  </r>
  <r>
    <s v="TX"/>
    <x v="47"/>
    <s v="Motley"/>
    <n v="1063"/>
    <n v="989"/>
  </r>
  <r>
    <s v="TX"/>
    <x v="47"/>
    <s v="Nacogdoches"/>
    <n v="64653"/>
    <n v="947"/>
  </r>
  <r>
    <s v="TX"/>
    <x v="47"/>
    <s v="Navarro"/>
    <n v="52624"/>
    <n v="1071"/>
  </r>
  <r>
    <s v="TX"/>
    <x v="47"/>
    <s v="Newton"/>
    <n v="12217"/>
    <n v="933"/>
  </r>
  <r>
    <s v="TX"/>
    <x v="47"/>
    <s v="Nolan"/>
    <n v="14738"/>
    <n v="912"/>
  </r>
  <r>
    <s v="TX"/>
    <x v="47"/>
    <s v="Nueces"/>
    <n v="353178"/>
    <n v="836"/>
  </r>
  <r>
    <s v="TX"/>
    <x v="47"/>
    <s v="Ochiltree"/>
    <n v="10015"/>
    <n v="918"/>
  </r>
  <r>
    <s v="TX"/>
    <x v="47"/>
    <s v="Oldham"/>
    <n v="1758"/>
    <n v="1501"/>
  </r>
  <r>
    <s v="TX"/>
    <x v="47"/>
    <s v="Orange"/>
    <n v="84808"/>
    <n v="356"/>
  </r>
  <r>
    <s v="TX"/>
    <x v="47"/>
    <s v="Palo Pinto"/>
    <n v="28409"/>
    <n v="953"/>
  </r>
  <r>
    <s v="TX"/>
    <x v="47"/>
    <s v="Panola"/>
    <n v="22491"/>
    <n v="801"/>
  </r>
  <r>
    <s v="TX"/>
    <x v="47"/>
    <s v="Parker"/>
    <n v="148222"/>
    <n v="904"/>
  </r>
  <r>
    <s v="TX"/>
    <x v="47"/>
    <s v="Parmer"/>
    <n v="9869"/>
    <n v="882"/>
  </r>
  <r>
    <s v="TX"/>
    <x v="47"/>
    <s v="Pecos"/>
    <n v="15193"/>
    <n v="4764"/>
  </r>
  <r>
    <s v="TX"/>
    <x v="47"/>
    <s v="Polk"/>
    <n v="50123"/>
    <n v="1057"/>
  </r>
  <r>
    <s v="TX"/>
    <x v="47"/>
    <s v="Potter"/>
    <n v="118525"/>
    <n v="909"/>
  </r>
  <r>
    <s v="TX"/>
    <x v="47"/>
    <s v="Presidio"/>
    <n v="6131"/>
    <n v="3856"/>
  </r>
  <r>
    <s v="TX"/>
    <x v="47"/>
    <s v="Rains"/>
    <n v="12164"/>
    <n v="259"/>
  </r>
  <r>
    <s v="TX"/>
    <x v="47"/>
    <s v="Randall"/>
    <n v="140753"/>
    <n v="914"/>
  </r>
  <r>
    <s v="TX"/>
    <x v="47"/>
    <s v="Reagan"/>
    <n v="3385"/>
    <n v="1175"/>
  </r>
  <r>
    <s v="TX"/>
    <x v="47"/>
    <s v="Real"/>
    <n v="2758"/>
    <n v="700"/>
  </r>
  <r>
    <s v="TX"/>
    <x v="47"/>
    <s v="Red River"/>
    <n v="11587"/>
    <n v="1050"/>
  </r>
  <r>
    <s v="TX"/>
    <x v="47"/>
    <s v="Reeves"/>
    <n v="14748"/>
    <n v="2636"/>
  </r>
  <r>
    <s v="TX"/>
    <x v="47"/>
    <s v="Refugio"/>
    <n v="6741"/>
    <n v="770"/>
  </r>
  <r>
    <s v="TX"/>
    <x v="47"/>
    <s v="Roberts"/>
    <n v="827"/>
    <n v="924"/>
  </r>
  <r>
    <s v="TX"/>
    <x v="47"/>
    <s v="Robertson"/>
    <n v="16757"/>
    <n v="855"/>
  </r>
  <r>
    <s v="TX"/>
    <x v="47"/>
    <s v="Rockwall"/>
    <n v="107819"/>
    <n v="149"/>
  </r>
  <r>
    <s v="TX"/>
    <x v="47"/>
    <s v="Runnels"/>
    <n v="9900"/>
    <n v="1054"/>
  </r>
  <r>
    <s v="TX"/>
    <x v="47"/>
    <s v="Rusk"/>
    <n v="52214"/>
    <n v="924"/>
  </r>
  <r>
    <s v="TX"/>
    <x v="47"/>
    <s v="Sabine"/>
    <n v="9894"/>
    <n v="490"/>
  </r>
  <r>
    <s v="TX"/>
    <x v="47"/>
    <s v="San Augustine"/>
    <n v="7918"/>
    <n v="528"/>
  </r>
  <r>
    <s v="TX"/>
    <x v="47"/>
    <s v="San Jacinto"/>
    <n v="27402"/>
    <n v="571"/>
  </r>
  <r>
    <s v="TX"/>
    <x v="47"/>
    <s v="San Patricio"/>
    <n v="68755"/>
    <n v="692"/>
  </r>
  <r>
    <s v="TX"/>
    <x v="47"/>
    <s v="San Saba"/>
    <n v="5730"/>
    <n v="1134"/>
  </r>
  <r>
    <s v="TX"/>
    <x v="47"/>
    <s v="Schleicher"/>
    <n v="2451"/>
    <n v="1311"/>
  </r>
  <r>
    <s v="TX"/>
    <x v="47"/>
    <s v="Scurry"/>
    <n v="16932"/>
    <n v="903"/>
  </r>
  <r>
    <s v="TX"/>
    <x v="47"/>
    <s v="Shackelford"/>
    <n v="3105"/>
    <n v="914"/>
  </r>
  <r>
    <s v="TX"/>
    <x v="47"/>
    <s v="Shelby"/>
    <n v="24022"/>
    <n v="794"/>
  </r>
  <r>
    <s v="TX"/>
    <x v="47"/>
    <s v="Sherman"/>
    <n v="2782"/>
    <n v="923"/>
  </r>
  <r>
    <s v="TX"/>
    <x v="47"/>
    <s v="Smith"/>
    <n v="233479"/>
    <n v="928"/>
  </r>
  <r>
    <s v="TX"/>
    <x v="47"/>
    <s v="Somervell"/>
    <n v="9205"/>
    <n v="187"/>
  </r>
  <r>
    <s v="TX"/>
    <x v="47"/>
    <s v="Starr"/>
    <n v="65920"/>
    <n v="1223"/>
  </r>
  <r>
    <s v="TX"/>
    <x v="47"/>
    <s v="Stephens"/>
    <n v="9101"/>
    <n v="895"/>
  </r>
  <r>
    <s v="TX"/>
    <x v="47"/>
    <s v="Sterling"/>
    <n v="1372"/>
    <n v="923"/>
  </r>
  <r>
    <s v="TX"/>
    <x v="47"/>
    <s v="Stonewall"/>
    <n v="1245"/>
    <n v="919"/>
  </r>
  <r>
    <s v="TX"/>
    <x v="47"/>
    <s v="Sutton"/>
    <n v="3372"/>
    <n v="1454"/>
  </r>
  <r>
    <s v="TX"/>
    <x v="47"/>
    <s v="Swisher"/>
    <n v="6971"/>
    <n v="900"/>
  </r>
  <r>
    <s v="TX"/>
    <x v="47"/>
    <s v="Tarrant"/>
    <n v="2110640"/>
    <n v="864"/>
  </r>
  <r>
    <s v="TX"/>
    <x v="47"/>
    <s v="Taylor"/>
    <n v="143208"/>
    <n v="916"/>
  </r>
  <r>
    <s v="TX"/>
    <x v="47"/>
    <s v="Terrell"/>
    <n v="760"/>
    <n v="2358"/>
  </r>
  <r>
    <s v="TX"/>
    <x v="47"/>
    <s v="Terry"/>
    <n v="11831"/>
    <n v="890"/>
  </r>
  <r>
    <s v="TX"/>
    <x v="47"/>
    <s v="Throckmorton"/>
    <n v="1440"/>
    <n v="912"/>
  </r>
  <r>
    <s v="TX"/>
    <x v="47"/>
    <s v="Titus"/>
    <n v="31247"/>
    <n v="411"/>
  </r>
  <r>
    <s v="TX"/>
    <x v="47"/>
    <s v="Tom Green"/>
    <n v="120003"/>
    <n v="1522"/>
  </r>
  <r>
    <s v="TX"/>
    <x v="47"/>
    <s v="Travis"/>
    <n v="1290188"/>
    <n v="989"/>
  </r>
  <r>
    <s v="TX"/>
    <x v="47"/>
    <s v="Trinity"/>
    <n v="13602"/>
    <n v="693"/>
  </r>
  <r>
    <s v="TX"/>
    <x v="47"/>
    <s v="Tyler"/>
    <n v="19798"/>
    <n v="923"/>
  </r>
  <r>
    <s v="TX"/>
    <x v="47"/>
    <s v="Upshur"/>
    <n v="40892"/>
    <n v="588"/>
  </r>
  <r>
    <s v="TX"/>
    <x v="47"/>
    <s v="Upton"/>
    <n v="3308"/>
    <n v="1242"/>
  </r>
  <r>
    <s v="TX"/>
    <x v="47"/>
    <s v="Uvalde"/>
    <n v="24564"/>
    <n v="1557"/>
  </r>
  <r>
    <s v="TX"/>
    <x v="47"/>
    <s v="Val Verde"/>
    <n v="47586"/>
    <n v="3171"/>
  </r>
  <r>
    <s v="TX"/>
    <x v="47"/>
    <s v="Van Zandt"/>
    <n v="59541"/>
    <n v="849"/>
  </r>
  <r>
    <s v="TX"/>
    <x v="47"/>
    <s v="Victoria"/>
    <n v="91319"/>
    <n v="883"/>
  </r>
  <r>
    <s v="TX"/>
    <x v="47"/>
    <s v="Walker"/>
    <n v="76400"/>
    <n v="788"/>
  </r>
  <r>
    <s v="TX"/>
    <x v="47"/>
    <s v="Waller"/>
    <n v="56794"/>
    <n v="514"/>
  </r>
  <r>
    <s v="TX"/>
    <x v="47"/>
    <s v="Ward"/>
    <n v="11644"/>
    <n v="836"/>
  </r>
  <r>
    <s v="TX"/>
    <x v="47"/>
    <s v="Washington"/>
    <n v="35805"/>
    <n v="609"/>
  </r>
  <r>
    <s v="TX"/>
    <x v="47"/>
    <s v="Webb"/>
    <n v="267114"/>
    <n v="3357"/>
  </r>
  <r>
    <s v="TX"/>
    <x v="47"/>
    <s v="Wharton"/>
    <n v="41570"/>
    <n v="1090"/>
  </r>
  <r>
    <s v="TX"/>
    <x v="47"/>
    <s v="Wheeler"/>
    <n v="4990"/>
    <n v="914"/>
  </r>
  <r>
    <s v="TX"/>
    <x v="47"/>
    <s v="Wichita"/>
    <n v="129350"/>
    <n v="628"/>
  </r>
  <r>
    <s v="TX"/>
    <x v="47"/>
    <s v="Wilbarger"/>
    <n v="12887"/>
    <n v="971"/>
  </r>
  <r>
    <s v="TX"/>
    <x v="47"/>
    <s v="Willacy"/>
    <n v="20164"/>
    <n v="597"/>
  </r>
  <r>
    <s v="TX"/>
    <x v="47"/>
    <s v="Williamson"/>
    <n v="609017"/>
    <n v="1124"/>
  </r>
  <r>
    <s v="TX"/>
    <x v="47"/>
    <s v="Wilson"/>
    <n v="49753"/>
    <n v="807"/>
  </r>
  <r>
    <s v="TX"/>
    <x v="47"/>
    <s v="Winkler"/>
    <n v="7791"/>
    <n v="841"/>
  </r>
  <r>
    <s v="TX"/>
    <x v="47"/>
    <s v="Wise"/>
    <n v="68632"/>
    <n v="905"/>
  </r>
  <r>
    <s v="TX"/>
    <x v="47"/>
    <s v="Wood"/>
    <n v="44843"/>
    <n v="650"/>
  </r>
  <r>
    <s v="TX"/>
    <x v="47"/>
    <s v="Yoakum"/>
    <n v="7694"/>
    <n v="800"/>
  </r>
  <r>
    <s v="TX"/>
    <x v="47"/>
    <s v="Young"/>
    <n v="17867"/>
    <n v="922"/>
  </r>
  <r>
    <s v="TX"/>
    <x v="47"/>
    <s v="Zapata"/>
    <n v="13889"/>
    <n v="997"/>
  </r>
  <r>
    <s v="TX"/>
    <x v="47"/>
    <s v="Zavala"/>
    <n v="9670"/>
    <n v="1299"/>
  </r>
  <r>
    <s v="UT"/>
    <x v="48"/>
    <s v="Beaver"/>
    <n v="7072"/>
    <n v="2592"/>
  </r>
  <r>
    <s v="UT"/>
    <x v="48"/>
    <s v="Box Elder"/>
    <n v="57666"/>
    <n v="6729"/>
  </r>
  <r>
    <s v="UT"/>
    <x v="48"/>
    <s v="Cache"/>
    <n v="133154"/>
    <n v="1173"/>
  </r>
  <r>
    <s v="UT"/>
    <x v="48"/>
    <s v="Carbon"/>
    <n v="20412"/>
    <n v="1485"/>
  </r>
  <r>
    <s v="UT"/>
    <x v="48"/>
    <s v="Daggett"/>
    <n v="935"/>
    <n v="721"/>
  </r>
  <r>
    <s v="UT"/>
    <x v="48"/>
    <s v="Davis"/>
    <n v="362679"/>
    <n v="634"/>
  </r>
  <r>
    <s v="UT"/>
    <x v="48"/>
    <s v="Duchesne"/>
    <n v="19596"/>
    <n v="3256"/>
  </r>
  <r>
    <s v="UT"/>
    <x v="48"/>
    <s v="Emery"/>
    <n v="9825"/>
    <n v="4472"/>
  </r>
  <r>
    <s v="UT"/>
    <x v="48"/>
    <s v="Garfield"/>
    <n v="5083"/>
    <n v="5208"/>
  </r>
  <r>
    <s v="UT"/>
    <x v="48"/>
    <s v="Grand"/>
    <n v="9669"/>
    <n v="3684"/>
  </r>
  <r>
    <s v="UT"/>
    <x v="48"/>
    <s v="Iron"/>
    <n v="57289"/>
    <n v="3301"/>
  </r>
  <r>
    <s v="UT"/>
    <x v="48"/>
    <s v="Juab"/>
    <n v="11786"/>
    <n v="3406"/>
  </r>
  <r>
    <s v="UT"/>
    <x v="48"/>
    <s v="Kane"/>
    <n v="7667"/>
    <n v="4109"/>
  </r>
  <r>
    <s v="UT"/>
    <x v="48"/>
    <s v="Millard"/>
    <n v="12975"/>
    <n v="6828"/>
  </r>
  <r>
    <s v="UT"/>
    <x v="48"/>
    <s v="Morgan"/>
    <n v="12295"/>
    <n v="611"/>
  </r>
  <r>
    <s v="UT"/>
    <x v="48"/>
    <s v="Piute"/>
    <n v="1438"/>
    <n v="766"/>
  </r>
  <r>
    <s v="UT"/>
    <x v="48"/>
    <s v="Rich"/>
    <n v="2510"/>
    <n v="1086"/>
  </r>
  <r>
    <s v="UT"/>
    <x v="48"/>
    <s v="Salt Lake"/>
    <n v="1185238"/>
    <n v="807"/>
  </r>
  <r>
    <s v="UT"/>
    <x v="48"/>
    <s v="San Juan"/>
    <n v="14518"/>
    <n v="7933"/>
  </r>
  <r>
    <s v="UT"/>
    <x v="48"/>
    <s v="Sanpete"/>
    <n v="28437"/>
    <n v="1603"/>
  </r>
  <r>
    <s v="UT"/>
    <x v="48"/>
    <s v="Sevier"/>
    <n v="21522"/>
    <n v="1918"/>
  </r>
  <r>
    <s v="UT"/>
    <x v="48"/>
    <s v="Summit"/>
    <n v="42357"/>
    <n v="1882"/>
  </r>
  <r>
    <s v="UT"/>
    <x v="48"/>
    <s v="Tooele"/>
    <n v="72698"/>
    <n v="7286"/>
  </r>
  <r>
    <s v="UT"/>
    <x v="48"/>
    <s v="Uintah"/>
    <n v="35620"/>
    <n v="4501"/>
  </r>
  <r>
    <s v="UT"/>
    <x v="48"/>
    <s v="Utah"/>
    <n v="659399"/>
    <n v="2144"/>
  </r>
  <r>
    <s v="UT"/>
    <x v="48"/>
    <s v="Wasatch"/>
    <n v="34788"/>
    <n v="1206"/>
  </r>
  <r>
    <s v="UT"/>
    <x v="48"/>
    <s v="Washington"/>
    <n v="180279"/>
    <n v="2430"/>
  </r>
  <r>
    <s v="UT"/>
    <x v="48"/>
    <s v="Wayne"/>
    <n v="2486"/>
    <n v="2466"/>
  </r>
  <r>
    <s v="UT"/>
    <x v="48"/>
    <s v="Weber"/>
    <n v="262223"/>
    <n v="659"/>
  </r>
  <r>
    <s v="VT"/>
    <x v="49"/>
    <s v="Addison"/>
    <n v="37363"/>
    <n v="766"/>
  </r>
  <r>
    <s v="VT"/>
    <x v="49"/>
    <s v="Bennington"/>
    <n v="37347"/>
    <n v="675"/>
  </r>
  <r>
    <s v="VT"/>
    <x v="49"/>
    <s v="Caledonia"/>
    <n v="30233"/>
    <n v="649"/>
  </r>
  <r>
    <s v="VT"/>
    <x v="49"/>
    <s v="Chittenden"/>
    <n v="168323"/>
    <n v="537"/>
  </r>
  <r>
    <s v="VT"/>
    <x v="49"/>
    <s v="Essex"/>
    <n v="5920"/>
    <n v="664"/>
  </r>
  <r>
    <s v="VT"/>
    <x v="49"/>
    <s v="Franklin"/>
    <n v="49946"/>
    <n v="634"/>
  </r>
  <r>
    <s v="VT"/>
    <x v="49"/>
    <s v="Grand Isle"/>
    <n v="7293"/>
    <n v="195"/>
  </r>
  <r>
    <s v="VT"/>
    <x v="49"/>
    <s v="Lamoille"/>
    <n v="25945"/>
    <n v="459"/>
  </r>
  <r>
    <s v="VT"/>
    <x v="49"/>
    <s v="Orange"/>
    <n v="29277"/>
    <n v="687"/>
  </r>
  <r>
    <s v="VT"/>
    <x v="49"/>
    <s v="Orleans"/>
    <n v="27393"/>
    <n v="693"/>
  </r>
  <r>
    <s v="VT"/>
    <x v="49"/>
    <s v="Rutland"/>
    <n v="60572"/>
    <n v="930"/>
  </r>
  <r>
    <s v="VT"/>
    <x v="49"/>
    <s v="Washington"/>
    <n v="59807"/>
    <n v="687"/>
  </r>
  <r>
    <s v="VT"/>
    <x v="49"/>
    <s v="Windham"/>
    <n v="45905"/>
    <n v="785"/>
  </r>
  <r>
    <s v="VT"/>
    <x v="49"/>
    <s v="Windsor"/>
    <n v="57753"/>
    <n v="969"/>
  </r>
  <r>
    <s v="VI"/>
    <x v="50"/>
    <s v="Saint Croix Island"/>
    <n v="50601"/>
    <n v="84"/>
  </r>
  <r>
    <s v="VI"/>
    <x v="50"/>
    <s v="Saint John Island"/>
    <n v="4170"/>
    <n v="20"/>
  </r>
  <r>
    <s v="VI"/>
    <x v="50"/>
    <s v="Saint Thomas Island"/>
    <n v="51634"/>
    <n v="32"/>
  </r>
  <r>
    <s v="VA"/>
    <x v="51"/>
    <s v="Accomack"/>
    <n v="33413"/>
    <n v="455"/>
  </r>
  <r>
    <s v="VA"/>
    <x v="51"/>
    <s v="Albemarle"/>
    <n v="112395"/>
    <n v="723"/>
  </r>
  <r>
    <s v="VA"/>
    <x v="51"/>
    <s v="Alleghany"/>
    <n v="15223"/>
    <n v="446"/>
  </r>
  <r>
    <s v="VA"/>
    <x v="51"/>
    <s v="Amelia"/>
    <n v="13265"/>
    <n v="357"/>
  </r>
  <r>
    <s v="VA"/>
    <x v="51"/>
    <s v="Amherst"/>
    <n v="31307"/>
    <n v="475"/>
  </r>
  <r>
    <s v="VA"/>
    <x v="51"/>
    <s v="Appomattox"/>
    <n v="16119"/>
    <n v="334"/>
  </r>
  <r>
    <s v="VA"/>
    <x v="51"/>
    <s v="Arlington"/>
    <n v="238643"/>
    <n v="26"/>
  </r>
  <r>
    <s v="VA"/>
    <x v="51"/>
    <s v="Augusta"/>
    <n v="77487"/>
    <n v="971"/>
  </r>
  <r>
    <s v="VA"/>
    <x v="51"/>
    <s v="Bath"/>
    <n v="4209"/>
    <n v="532"/>
  </r>
  <r>
    <s v="VA"/>
    <x v="51"/>
    <s v="Bedford"/>
    <n v="79462"/>
    <n v="755"/>
  </r>
  <r>
    <s v="VA"/>
    <x v="51"/>
    <s v="Bland"/>
    <n v="6270"/>
    <n v="359"/>
  </r>
  <r>
    <s v="VA"/>
    <x v="51"/>
    <s v="Botetourt"/>
    <n v="33596"/>
    <n v="543"/>
  </r>
  <r>
    <s v="VA"/>
    <x v="51"/>
    <s v="Brunswick"/>
    <n v="15849"/>
    <n v="566"/>
  </r>
  <r>
    <s v="VA"/>
    <x v="51"/>
    <s v="Buchanan"/>
    <n v="20355"/>
    <n v="504"/>
  </r>
  <r>
    <s v="VA"/>
    <x v="51"/>
    <s v="Buckingham"/>
    <n v="16824"/>
    <n v="581"/>
  </r>
  <r>
    <s v="VA"/>
    <x v="51"/>
    <s v="Campbell"/>
    <n v="55696"/>
    <n v="504"/>
  </r>
  <r>
    <s v="VA"/>
    <x v="51"/>
    <s v="Caroline"/>
    <n v="30887"/>
    <n v="533"/>
  </r>
  <r>
    <s v="VA"/>
    <x v="51"/>
    <s v="Carroll"/>
    <n v="29155"/>
    <n v="476"/>
  </r>
  <r>
    <s v="VA"/>
    <x v="51"/>
    <s v="Charles City"/>
    <n v="6773"/>
    <n v="182"/>
  </r>
  <r>
    <s v="VA"/>
    <x v="51"/>
    <s v="Charlotte"/>
    <n v="11529"/>
    <n v="475"/>
  </r>
  <r>
    <s v="VA"/>
    <x v="51"/>
    <s v="Chesterfield"/>
    <n v="364548"/>
    <n v="426"/>
  </r>
  <r>
    <s v="VA"/>
    <x v="51"/>
    <s v="Clarke"/>
    <n v="14783"/>
    <n v="177"/>
  </r>
  <r>
    <s v="VA"/>
    <x v="51"/>
    <s v="Craig"/>
    <n v="4892"/>
    <n v="330"/>
  </r>
  <r>
    <s v="VA"/>
    <x v="51"/>
    <s v="Culpeper"/>
    <n v="52552"/>
    <n v="381"/>
  </r>
  <r>
    <s v="VA"/>
    <x v="51"/>
    <s v="Cumberland"/>
    <n v="9675"/>
    <n v="298"/>
  </r>
  <r>
    <s v="VA"/>
    <x v="51"/>
    <s v="Dickenson"/>
    <n v="14124"/>
    <n v="333"/>
  </r>
  <r>
    <s v="VA"/>
    <x v="51"/>
    <s v="Dinwiddie"/>
    <n v="27947"/>
    <n v="504"/>
  </r>
  <r>
    <s v="VA"/>
    <x v="51"/>
    <s v="Essex"/>
    <n v="10599"/>
    <n v="258"/>
  </r>
  <r>
    <s v="VA"/>
    <x v="51"/>
    <s v="Fairfax"/>
    <n v="1150309"/>
    <n v="396"/>
  </r>
  <r>
    <s v="VA"/>
    <x v="51"/>
    <s v="Fauquier"/>
    <n v="72972"/>
    <n v="650"/>
  </r>
  <r>
    <s v="VA"/>
    <x v="51"/>
    <s v="Floyd"/>
    <n v="15476"/>
    <n v="382"/>
  </r>
  <r>
    <s v="VA"/>
    <x v="51"/>
    <s v="Fluvanna"/>
    <n v="27249"/>
    <n v="287"/>
  </r>
  <r>
    <s v="VA"/>
    <x v="51"/>
    <s v="Franklin"/>
    <n v="54477"/>
    <n v="692"/>
  </r>
  <r>
    <s v="VA"/>
    <x v="51"/>
    <s v="Frederick"/>
    <n v="91419"/>
    <n v="415"/>
  </r>
  <r>
    <s v="VA"/>
    <x v="51"/>
    <s v="Giles"/>
    <n v="16787"/>
    <n v="358"/>
  </r>
  <r>
    <s v="VA"/>
    <x v="51"/>
    <s v="Gloucester"/>
    <n v="38711"/>
    <n v="217"/>
  </r>
  <r>
    <s v="VA"/>
    <x v="51"/>
    <s v="Goochland"/>
    <n v="24727"/>
    <n v="284"/>
  </r>
  <r>
    <s v="VA"/>
    <x v="51"/>
    <s v="Grayson"/>
    <n v="15333"/>
    <n v="443"/>
  </r>
  <r>
    <s v="VA"/>
    <x v="51"/>
    <s v="Greene"/>
    <n v="20552"/>
    <n v="157"/>
  </r>
  <r>
    <s v="VA"/>
    <x v="51"/>
    <s v="Greensville"/>
    <n v="11391"/>
    <n v="296"/>
  </r>
  <r>
    <s v="VA"/>
    <x v="51"/>
    <s v="Halifax"/>
    <n v="34022"/>
    <n v="814"/>
  </r>
  <r>
    <s v="VA"/>
    <x v="51"/>
    <s v="Hanover"/>
    <n v="109979"/>
    <n v="473"/>
  </r>
  <r>
    <s v="VA"/>
    <x v="51"/>
    <s v="Henrico"/>
    <n v="334389"/>
    <n v="238"/>
  </r>
  <r>
    <s v="VA"/>
    <x v="51"/>
    <s v="Henry"/>
    <n v="50948"/>
    <n v="382"/>
  </r>
  <r>
    <s v="VA"/>
    <x v="51"/>
    <s v="Highland"/>
    <n v="2232"/>
    <n v="416"/>
  </r>
  <r>
    <s v="VA"/>
    <x v="51"/>
    <s v="Isle of Wight"/>
    <n v="38606"/>
    <n v="316"/>
  </r>
  <r>
    <s v="VA"/>
    <x v="51"/>
    <s v="James City"/>
    <n v="78254"/>
    <n v="143"/>
  </r>
  <r>
    <s v="VA"/>
    <x v="51"/>
    <s v="King and Queen"/>
    <n v="6608"/>
    <n v="316"/>
  </r>
  <r>
    <s v="VA"/>
    <x v="51"/>
    <s v="King George"/>
    <n v="26723"/>
    <n v="180"/>
  </r>
  <r>
    <s v="VA"/>
    <x v="51"/>
    <s v="King William"/>
    <n v="17810"/>
    <n v="275"/>
  </r>
  <r>
    <s v="VA"/>
    <x v="51"/>
    <s v="Lancaster"/>
    <n v="10919"/>
    <n v="133"/>
  </r>
  <r>
    <s v="VA"/>
    <x v="51"/>
    <s v="Lee"/>
    <n v="22173"/>
    <n v="437"/>
  </r>
  <r>
    <s v="VA"/>
    <x v="51"/>
    <s v="Loudoun"/>
    <n v="420959"/>
    <n v="520"/>
  </r>
  <r>
    <s v="VA"/>
    <x v="51"/>
    <s v="Louisa"/>
    <n v="37596"/>
    <n v="498"/>
  </r>
  <r>
    <s v="VA"/>
    <x v="51"/>
    <s v="Lunenburg"/>
    <n v="11936"/>
    <n v="432"/>
  </r>
  <r>
    <s v="VA"/>
    <x v="51"/>
    <s v="Madison"/>
    <n v="13837"/>
    <n v="322"/>
  </r>
  <r>
    <s v="VA"/>
    <x v="51"/>
    <s v="Mathews"/>
    <n v="8533"/>
    <n v="86"/>
  </r>
  <r>
    <s v="VA"/>
    <x v="51"/>
    <s v="Mecklenburg"/>
    <n v="30319"/>
    <n v="624"/>
  </r>
  <r>
    <s v="VA"/>
    <x v="51"/>
    <s v="Middlesex"/>
    <n v="10625"/>
    <n v="130"/>
  </r>
  <r>
    <s v="VA"/>
    <x v="51"/>
    <s v="Montgomery"/>
    <n v="99721"/>
    <n v="388"/>
  </r>
  <r>
    <s v="VA"/>
    <x v="51"/>
    <s v="Nelson"/>
    <n v="14775"/>
    <n v="472"/>
  </r>
  <r>
    <s v="VA"/>
    <x v="51"/>
    <s v="New Kent"/>
    <n v="22945"/>
    <n v="210"/>
  </r>
  <r>
    <s v="VA"/>
    <x v="51"/>
    <s v="Northampton"/>
    <n v="12282"/>
    <n v="207"/>
  </r>
  <r>
    <s v="VA"/>
    <x v="51"/>
    <s v="Northumberland"/>
    <n v="11839"/>
    <n v="192"/>
  </r>
  <r>
    <s v="VA"/>
    <x v="51"/>
    <s v="Nottoway"/>
    <n v="15642"/>
    <n v="315"/>
  </r>
  <r>
    <s v="VA"/>
    <x v="51"/>
    <s v="Orange"/>
    <n v="36254"/>
    <n v="342"/>
  </r>
  <r>
    <s v="VA"/>
    <x v="51"/>
    <s v="Page"/>
    <n v="23709"/>
    <n v="311"/>
  </r>
  <r>
    <s v="VA"/>
    <x v="51"/>
    <s v="Patrick"/>
    <n v="17608"/>
    <n v="483"/>
  </r>
  <r>
    <s v="VA"/>
    <x v="51"/>
    <s v="Pittsylvania"/>
    <n v="60501"/>
    <n v="978"/>
  </r>
  <r>
    <s v="VA"/>
    <x v="51"/>
    <s v="Powhatan"/>
    <n v="30333"/>
    <n v="261"/>
  </r>
  <r>
    <s v="VA"/>
    <x v="51"/>
    <s v="Prince Edward"/>
    <n v="21849"/>
    <n v="353"/>
  </r>
  <r>
    <s v="VA"/>
    <x v="51"/>
    <s v="Prince George"/>
    <n v="43010"/>
    <n v="266"/>
  </r>
  <r>
    <s v="VA"/>
    <x v="51"/>
    <s v="Prince William"/>
    <n v="482204"/>
    <n v="338"/>
  </r>
  <r>
    <s v="VA"/>
    <x v="51"/>
    <s v="Pulaski"/>
    <n v="33800"/>
    <n v="321"/>
  </r>
  <r>
    <s v="VA"/>
    <x v="51"/>
    <s v="Rappahannock"/>
    <n v="7348"/>
    <n v="267"/>
  </r>
  <r>
    <s v="VA"/>
    <x v="51"/>
    <s v="Richmond"/>
    <n v="8923"/>
    <n v="192"/>
  </r>
  <r>
    <s v="VA"/>
    <x v="51"/>
    <s v="Roanoke"/>
    <n v="96929"/>
    <n v="251"/>
  </r>
  <r>
    <s v="VA"/>
    <x v="51"/>
    <s v="Rockbridge"/>
    <n v="22650"/>
    <n v="600"/>
  </r>
  <r>
    <s v="VA"/>
    <x v="51"/>
    <s v="Rockingham"/>
    <n v="83757"/>
    <n v="851"/>
  </r>
  <r>
    <s v="VA"/>
    <x v="51"/>
    <s v="Russell"/>
    <n v="25781"/>
    <n v="475"/>
  </r>
  <r>
    <s v="VA"/>
    <x v="51"/>
    <s v="Scott"/>
    <n v="21576"/>
    <n v="537"/>
  </r>
  <r>
    <s v="VA"/>
    <x v="51"/>
    <s v="Shenandoah"/>
    <n v="44186"/>
    <n v="512"/>
  </r>
  <r>
    <s v="VA"/>
    <x v="51"/>
    <s v="Smyth"/>
    <n v="29800"/>
    <n v="452"/>
  </r>
  <r>
    <s v="VA"/>
    <x v="51"/>
    <s v="Southampton"/>
    <n v="17996"/>
    <n v="600"/>
  </r>
  <r>
    <s v="VA"/>
    <x v="51"/>
    <s v="Spotsylvania"/>
    <n v="140032"/>
    <n v="401"/>
  </r>
  <r>
    <s v="VA"/>
    <x v="51"/>
    <s v="Stafford"/>
    <n v="156927"/>
    <n v="270"/>
  </r>
  <r>
    <s v="VA"/>
    <x v="51"/>
    <s v="Surry"/>
    <n v="6561"/>
    <n v="279"/>
  </r>
  <r>
    <s v="VA"/>
    <x v="51"/>
    <s v="Sussex"/>
    <n v="10829"/>
    <n v="491"/>
  </r>
  <r>
    <s v="VA"/>
    <x v="51"/>
    <s v="Tazewell"/>
    <n v="40429"/>
    <n v="520"/>
  </r>
  <r>
    <s v="VA"/>
    <x v="51"/>
    <s v="Warren"/>
    <n v="40727"/>
    <n v="214"/>
  </r>
  <r>
    <s v="VA"/>
    <x v="51"/>
    <s v="Washington"/>
    <n v="53935"/>
    <n v="564"/>
  </r>
  <r>
    <s v="VA"/>
    <x v="51"/>
    <s v="Westmoreland"/>
    <n v="18477"/>
    <n v="229"/>
  </r>
  <r>
    <s v="VA"/>
    <x v="51"/>
    <s v="Wise"/>
    <n v="36130"/>
    <n v="403"/>
  </r>
  <r>
    <s v="VA"/>
    <x v="51"/>
    <s v="Wythe"/>
    <n v="28290"/>
    <n v="463"/>
  </r>
  <r>
    <s v="VA"/>
    <x v="51"/>
    <s v="York"/>
    <n v="70045"/>
    <n v="106"/>
  </r>
  <r>
    <s v="VA"/>
    <x v="51"/>
    <s v="Alexandria, City of"/>
    <n v="159467"/>
    <n v="15"/>
  </r>
  <r>
    <s v="VA"/>
    <x v="51"/>
    <s v="Bristol, City of"/>
    <n v="17219"/>
    <n v="12"/>
  </r>
  <r>
    <s v="VA"/>
    <x v="51"/>
    <s v="Buena Vista, City of"/>
    <n v="6641"/>
    <n v="7"/>
  </r>
  <r>
    <s v="VA"/>
    <x v="51"/>
    <s v="Charlottesville, City of"/>
    <n v="46553"/>
    <n v="10"/>
  </r>
  <r>
    <s v="VA"/>
    <x v="51"/>
    <s v="Chesapeake, City of"/>
    <n v="249422"/>
    <n v="341"/>
  </r>
  <r>
    <s v="VA"/>
    <x v="51"/>
    <s v="Colonial Heights, City of"/>
    <n v="18170"/>
    <n v="8"/>
  </r>
  <r>
    <s v="VA"/>
    <x v="51"/>
    <s v="Covington, City of"/>
    <n v="5737"/>
    <n v="4"/>
  </r>
  <r>
    <s v="VA"/>
    <x v="51"/>
    <s v="Danville, City of"/>
    <n v="42590"/>
    <n v="43"/>
  </r>
  <r>
    <s v="VA"/>
    <x v="51"/>
    <s v="Emporia, City of"/>
    <n v="5766"/>
    <n v="7"/>
  </r>
  <r>
    <s v="VA"/>
    <x v="51"/>
    <s v="Fairfax, City of"/>
    <n v="24146"/>
    <n v="6"/>
  </r>
  <r>
    <s v="VA"/>
    <x v="51"/>
    <s v="Falls Church, City of"/>
    <n v="14658"/>
    <n v="2.1"/>
  </r>
  <r>
    <s v="VA"/>
    <x v="51"/>
    <s v="Franklin, City of"/>
    <n v="8180"/>
    <n v="8"/>
  </r>
  <r>
    <s v="VA"/>
    <x v="51"/>
    <s v="Fredericksburg, City of"/>
    <n v="27982"/>
    <n v="10"/>
  </r>
  <r>
    <s v="VA"/>
    <x v="51"/>
    <s v="Galax, City of"/>
    <n v="6720"/>
    <n v="8"/>
  </r>
  <r>
    <s v="VA"/>
    <x v="51"/>
    <s v="Hampton, City of"/>
    <n v="137148"/>
    <n v="52"/>
  </r>
  <r>
    <s v="VA"/>
    <x v="51"/>
    <s v="Harrisonburg, City of"/>
    <n v="51814"/>
    <n v="18"/>
  </r>
  <r>
    <s v="VA"/>
    <x v="51"/>
    <s v="Hopewell, City of"/>
    <n v="23033"/>
    <n v="10"/>
  </r>
  <r>
    <s v="VA"/>
    <x v="51"/>
    <s v="Lexington, City of"/>
    <n v="7320"/>
    <n v="2.5"/>
  </r>
  <r>
    <s v="VA"/>
    <x v="51"/>
    <s v="Lynchburg, City of"/>
    <n v="79009"/>
    <n v="49"/>
  </r>
  <r>
    <s v="VA"/>
    <x v="51"/>
    <s v="Manassas, City of"/>
    <n v="42772"/>
    <n v="10"/>
  </r>
  <r>
    <s v="VA"/>
    <x v="51"/>
    <s v="Manassas Park, City of"/>
    <n v="17219"/>
    <n v="2.5"/>
  </r>
  <r>
    <s v="VA"/>
    <x v="51"/>
    <s v="Martinsville, City of"/>
    <n v="13485"/>
    <n v="11"/>
  </r>
  <r>
    <s v="VA"/>
    <x v="51"/>
    <s v="Newport News, City of"/>
    <n v="186247"/>
    <n v="68"/>
  </r>
  <r>
    <s v="VA"/>
    <x v="51"/>
    <s v="Norfolk, City of"/>
    <n v="238005"/>
    <n v="54"/>
  </r>
  <r>
    <s v="VA"/>
    <x v="51"/>
    <s v="Norton, City of"/>
    <n v="3687"/>
    <n v="7"/>
  </r>
  <r>
    <s v="VA"/>
    <x v="51"/>
    <s v="Petersburg, City of"/>
    <n v="33458"/>
    <n v="23"/>
  </r>
  <r>
    <s v="VA"/>
    <x v="51"/>
    <s v="Poquoson, City of"/>
    <n v="12460"/>
    <n v="16"/>
  </r>
  <r>
    <s v="VA"/>
    <x v="51"/>
    <s v="Portsmouth, City of"/>
    <n v="97915"/>
    <n v="33"/>
  </r>
  <r>
    <s v="VA"/>
    <x v="51"/>
    <s v="Radford, City of"/>
    <n v="16070"/>
    <n v="10"/>
  </r>
  <r>
    <s v="VA"/>
    <x v="51"/>
    <s v="Richmond, City of"/>
    <n v="226610"/>
    <n v="60"/>
  </r>
  <r>
    <s v="VA"/>
    <x v="51"/>
    <s v="Roanoke, City of"/>
    <n v="100011"/>
    <n v="43"/>
  </r>
  <r>
    <s v="VA"/>
    <x v="51"/>
    <s v="Salem, City of"/>
    <n v="25346"/>
    <n v="15"/>
  </r>
  <r>
    <s v="VA"/>
    <x v="51"/>
    <s v="Staunton, City of"/>
    <n v="25750"/>
    <n v="20"/>
  </r>
  <r>
    <s v="VA"/>
    <x v="51"/>
    <s v="Suffolk, City of"/>
    <n v="94324"/>
    <n v="400"/>
  </r>
  <r>
    <s v="VA"/>
    <x v="51"/>
    <s v="Virginia Beach, City of"/>
    <n v="459470"/>
    <n v="248"/>
  </r>
  <r>
    <s v="VA"/>
    <x v="51"/>
    <s v="Waynesboro, City of"/>
    <n v="22196"/>
    <n v="14"/>
  </r>
  <r>
    <s v="VA"/>
    <x v="51"/>
    <s v="Williamsburg, City of"/>
    <n v="15425"/>
    <n v="9"/>
  </r>
  <r>
    <s v="VA"/>
    <x v="51"/>
    <s v="Winchester, City of"/>
    <n v="28120"/>
    <n v="9"/>
  </r>
  <r>
    <s v="WA"/>
    <x v="52"/>
    <s v="Adams"/>
    <n v="20613"/>
    <n v="1925"/>
  </r>
  <r>
    <s v="WA"/>
    <x v="52"/>
    <s v="Asotin"/>
    <n v="22285"/>
    <n v="636"/>
  </r>
  <r>
    <s v="WA"/>
    <x v="52"/>
    <s v="Benton"/>
    <n v="206873"/>
    <n v="1700"/>
  </r>
  <r>
    <s v="WA"/>
    <x v="52"/>
    <s v="Chelan"/>
    <n v="79074"/>
    <n v="2920"/>
  </r>
  <r>
    <s v="WA"/>
    <x v="52"/>
    <s v="Clallam"/>
    <n v="77155"/>
    <n v="1738"/>
  </r>
  <r>
    <s v="WA"/>
    <x v="52"/>
    <s v="Clark"/>
    <n v="503311"/>
    <n v="629"/>
  </r>
  <r>
    <s v="WA"/>
    <x v="52"/>
    <s v="Columbia"/>
    <n v="3952"/>
    <n v="869"/>
  </r>
  <r>
    <s v="WA"/>
    <x v="52"/>
    <s v="Cowlitz"/>
    <n v="110730"/>
    <n v="1139"/>
  </r>
  <r>
    <s v="WA"/>
    <x v="52"/>
    <s v="Douglas"/>
    <n v="42938"/>
    <n v="1819"/>
  </r>
  <r>
    <s v="WA"/>
    <x v="52"/>
    <s v="Ferry"/>
    <n v="7178"/>
    <n v="2204"/>
  </r>
  <r>
    <s v="WA"/>
    <x v="52"/>
    <s v="Franklin"/>
    <n v="96749"/>
    <n v="1242"/>
  </r>
  <r>
    <s v="WA"/>
    <x v="52"/>
    <s v="Garfield"/>
    <n v="2286"/>
    <n v="710"/>
  </r>
  <r>
    <s v="WA"/>
    <x v="52"/>
    <s v="Grant"/>
    <n v="99123"/>
    <n v="2680"/>
  </r>
  <r>
    <s v="WA"/>
    <x v="52"/>
    <s v="Grays Harbor"/>
    <n v="75636"/>
    <n v="1902"/>
  </r>
  <r>
    <s v="WA"/>
    <x v="52"/>
    <s v="Island"/>
    <n v="86857"/>
    <n v="209"/>
  </r>
  <r>
    <s v="WA"/>
    <x v="52"/>
    <s v="Jefferson"/>
    <n v="32977"/>
    <n v="1804"/>
  </r>
  <r>
    <s v="WA"/>
    <x v="52"/>
    <s v="King"/>
    <n v="2269675"/>
    <n v="2115"/>
  </r>
  <r>
    <s v="WA"/>
    <x v="52"/>
    <s v="Kitsap"/>
    <n v="275611"/>
    <n v="395"/>
  </r>
  <r>
    <s v="WA"/>
    <x v="52"/>
    <s v="Kittitas"/>
    <n v="44337"/>
    <n v="2297"/>
  </r>
  <r>
    <s v="WA"/>
    <x v="52"/>
    <s v="Klickitat"/>
    <n v="22735"/>
    <n v="1872"/>
  </r>
  <r>
    <s v="WA"/>
    <x v="52"/>
    <s v="Lewis"/>
    <n v="82149"/>
    <n v="2403"/>
  </r>
  <r>
    <s v="WA"/>
    <x v="52"/>
    <s v="Lincoln"/>
    <n v="10876"/>
    <n v="2311"/>
  </r>
  <r>
    <s v="WA"/>
    <x v="52"/>
    <s v="Mason"/>
    <n v="65726"/>
    <n v="959"/>
  </r>
  <r>
    <s v="WA"/>
    <x v="52"/>
    <s v="Okanogan"/>
    <n v="42104"/>
    <n v="5268"/>
  </r>
  <r>
    <s v="WA"/>
    <x v="52"/>
    <s v="Pacific"/>
    <n v="23365"/>
    <n v="933"/>
  </r>
  <r>
    <s v="WA"/>
    <x v="52"/>
    <s v="Pend Oreille"/>
    <n v="13401"/>
    <n v="1400"/>
  </r>
  <r>
    <s v="WA"/>
    <x v="52"/>
    <s v="Pierce"/>
    <n v="921130"/>
    <n v="1670"/>
  </r>
  <r>
    <s v="WA"/>
    <x v="52"/>
    <s v="San Juan"/>
    <n v="17788"/>
    <n v="174"/>
  </r>
  <r>
    <s v="WA"/>
    <x v="52"/>
    <s v="Skagit"/>
    <n v="129523"/>
    <n v="1731"/>
  </r>
  <r>
    <s v="WA"/>
    <x v="52"/>
    <s v="Skamania"/>
    <n v="12036"/>
    <n v="1656"/>
  </r>
  <r>
    <s v="WA"/>
    <x v="52"/>
    <s v="Snohomish"/>
    <n v="827957"/>
    <n v="2087"/>
  </r>
  <r>
    <s v="WA"/>
    <x v="52"/>
    <s v="Spokane"/>
    <n v="539339"/>
    <n v="1764"/>
  </r>
  <r>
    <s v="WA"/>
    <x v="52"/>
    <s v="Stevens"/>
    <n v="46445"/>
    <n v="2478"/>
  </r>
  <r>
    <s v="WA"/>
    <x v="52"/>
    <s v="Thurston"/>
    <n v="294793"/>
    <n v="722"/>
  </r>
  <r>
    <s v="WA"/>
    <x v="52"/>
    <s v="Wahkiakum"/>
    <n v="4422"/>
    <n v="264"/>
  </r>
  <r>
    <s v="WA"/>
    <x v="52"/>
    <s v="Walla Walla"/>
    <n v="62584"/>
    <n v="1270"/>
  </r>
  <r>
    <s v="WA"/>
    <x v="52"/>
    <s v="Whatcom"/>
    <n v="226847"/>
    <n v="2107"/>
  </r>
  <r>
    <s v="WA"/>
    <x v="52"/>
    <s v="Whitman"/>
    <n v="47973"/>
    <n v="2159"/>
  </r>
  <r>
    <s v="WA"/>
    <x v="52"/>
    <s v="Yakima"/>
    <n v="256728"/>
    <n v="4296"/>
  </r>
  <r>
    <s v="WV"/>
    <x v="53"/>
    <s v="Barbour"/>
    <n v="15465"/>
    <n v="341"/>
  </r>
  <r>
    <s v="WV"/>
    <x v="53"/>
    <s v="Berkeley"/>
    <n v="122076"/>
    <n v="321"/>
  </r>
  <r>
    <s v="WV"/>
    <x v="53"/>
    <s v="Boone"/>
    <n v="21809"/>
    <n v="503"/>
  </r>
  <r>
    <s v="WV"/>
    <x v="53"/>
    <s v="Braxton"/>
    <n v="12447"/>
    <n v="514"/>
  </r>
  <r>
    <s v="WV"/>
    <x v="53"/>
    <s v="Brooke"/>
    <n v="22559"/>
    <n v="89"/>
  </r>
  <r>
    <s v="WV"/>
    <x v="53"/>
    <s v="Cabell"/>
    <n v="94350"/>
    <n v="282"/>
  </r>
  <r>
    <s v="WV"/>
    <x v="53"/>
    <s v="Calhoun"/>
    <n v="6229"/>
    <n v="281"/>
  </r>
  <r>
    <s v="WV"/>
    <x v="53"/>
    <s v="Clay"/>
    <n v="8051"/>
    <n v="342"/>
  </r>
  <r>
    <s v="WV"/>
    <x v="53"/>
    <s v="Doddridge"/>
    <n v="7808"/>
    <n v="320"/>
  </r>
  <r>
    <s v="WV"/>
    <x v="53"/>
    <s v="Fayette"/>
    <n v="40488"/>
    <n v="664"/>
  </r>
  <r>
    <s v="WV"/>
    <x v="53"/>
    <s v="Gilmer"/>
    <n v="7408"/>
    <n v="340"/>
  </r>
  <r>
    <s v="WV"/>
    <x v="53"/>
    <s v="Grant"/>
    <n v="10976"/>
    <n v="477"/>
  </r>
  <r>
    <s v="WV"/>
    <x v="53"/>
    <s v="Greenbrier"/>
    <n v="32977"/>
    <n v="1021"/>
  </r>
  <r>
    <s v="WV"/>
    <x v="53"/>
    <s v="Hampshire"/>
    <n v="23093"/>
    <n v="642"/>
  </r>
  <r>
    <s v="WV"/>
    <x v="53"/>
    <s v="Hancock"/>
    <n v="29095"/>
    <n v="83"/>
  </r>
  <r>
    <s v="WV"/>
    <x v="53"/>
    <s v="Hardy"/>
    <n v="14299"/>
    <n v="583"/>
  </r>
  <r>
    <s v="WV"/>
    <x v="53"/>
    <s v="Harrison"/>
    <n v="65921"/>
    <n v="416"/>
  </r>
  <r>
    <s v="WV"/>
    <x v="53"/>
    <s v="Jackson"/>
    <n v="27791"/>
    <n v="466"/>
  </r>
  <r>
    <s v="WV"/>
    <x v="53"/>
    <s v="Jefferson"/>
    <n v="57701"/>
    <n v="210"/>
  </r>
  <r>
    <s v="WV"/>
    <x v="53"/>
    <s v="Kanawha"/>
    <n v="180745"/>
    <n v="903"/>
  </r>
  <r>
    <s v="WV"/>
    <x v="53"/>
    <s v="Lewis"/>
    <n v="17033"/>
    <n v="389"/>
  </r>
  <r>
    <s v="WV"/>
    <x v="53"/>
    <s v="Lincoln"/>
    <n v="20463"/>
    <n v="438"/>
  </r>
  <r>
    <s v="WV"/>
    <x v="53"/>
    <s v="Logan"/>
    <n v="32567"/>
    <n v="454"/>
  </r>
  <r>
    <s v="WV"/>
    <x v="53"/>
    <s v="Marion"/>
    <n v="56205"/>
    <n v="307"/>
  </r>
  <r>
    <s v="WV"/>
    <x v="53"/>
    <s v="Marshall"/>
    <n v="30591"/>
    <n v="432"/>
  </r>
  <r>
    <s v="WV"/>
    <x v="53"/>
    <s v="Mason"/>
    <n v="25453"/>
    <n v="535"/>
  </r>
  <r>
    <s v="WV"/>
    <x v="53"/>
    <s v="McDowell"/>
    <n v="19111"/>
    <n v="534"/>
  </r>
  <r>
    <s v="WV"/>
    <x v="53"/>
    <s v="Mercer"/>
    <n v="59664"/>
    <n v="420"/>
  </r>
  <r>
    <s v="WV"/>
    <x v="53"/>
    <s v="Mineral"/>
    <n v="26938"/>
    <n v="328"/>
  </r>
  <r>
    <s v="WV"/>
    <x v="53"/>
    <s v="Mingo"/>
    <n v="23568"/>
    <n v="423"/>
  </r>
  <r>
    <s v="WV"/>
    <x v="53"/>
    <s v="Monongalia"/>
    <n v="105822"/>
    <n v="361"/>
  </r>
  <r>
    <s v="WV"/>
    <x v="53"/>
    <s v="Monroe"/>
    <n v="12376"/>
    <n v="473"/>
  </r>
  <r>
    <s v="WV"/>
    <x v="53"/>
    <s v="Morgan"/>
    <n v="17063"/>
    <n v="229"/>
  </r>
  <r>
    <s v="WV"/>
    <x v="53"/>
    <s v="Nicholas"/>
    <n v="24604"/>
    <n v="649"/>
  </r>
  <r>
    <s v="WV"/>
    <x v="53"/>
    <s v="Ohio"/>
    <n v="42425"/>
    <n v="106"/>
  </r>
  <r>
    <s v="WV"/>
    <x v="53"/>
    <s v="Pendleton"/>
    <n v="6143"/>
    <n v="698"/>
  </r>
  <r>
    <s v="WV"/>
    <x v="53"/>
    <s v="Pleasants"/>
    <n v="7653"/>
    <n v="131"/>
  </r>
  <r>
    <s v="WV"/>
    <x v="53"/>
    <s v="Pocahontas"/>
    <n v="7869"/>
    <n v="940"/>
  </r>
  <r>
    <s v="WV"/>
    <x v="53"/>
    <s v="Preston"/>
    <n v="34216"/>
    <n v="648"/>
  </r>
  <r>
    <s v="WV"/>
    <x v="53"/>
    <s v="Putnam"/>
    <n v="57440"/>
    <n v="346"/>
  </r>
  <r>
    <s v="WV"/>
    <x v="53"/>
    <s v="Raleigh"/>
    <n v="74591"/>
    <n v="607"/>
  </r>
  <r>
    <s v="WV"/>
    <x v="53"/>
    <s v="Randolph"/>
    <n v="27932"/>
    <n v="1040"/>
  </r>
  <r>
    <s v="WV"/>
    <x v="53"/>
    <s v="Ritchie"/>
    <n v="8444"/>
    <n v="454"/>
  </r>
  <r>
    <s v="WV"/>
    <x v="53"/>
    <s v="Roane"/>
    <n v="14028"/>
    <n v="484"/>
  </r>
  <r>
    <s v="WV"/>
    <x v="53"/>
    <s v="Summers"/>
    <n v="11959"/>
    <n v="361"/>
  </r>
  <r>
    <s v="WV"/>
    <x v="53"/>
    <s v="Taylor"/>
    <n v="16705"/>
    <n v="173"/>
  </r>
  <r>
    <s v="WV"/>
    <x v="53"/>
    <s v="Tucker"/>
    <n v="6762"/>
    <n v="419"/>
  </r>
  <r>
    <s v="WV"/>
    <x v="53"/>
    <s v="Tyler"/>
    <n v="8313"/>
    <n v="258"/>
  </r>
  <r>
    <s v="WV"/>
    <x v="53"/>
    <s v="Upshur"/>
    <n v="23816"/>
    <n v="355"/>
  </r>
  <r>
    <s v="WV"/>
    <x v="53"/>
    <s v="Wayne"/>
    <n v="38982"/>
    <n v="506"/>
  </r>
  <r>
    <s v="WV"/>
    <x v="53"/>
    <s v="Webster"/>
    <n v="8378"/>
    <n v="556"/>
  </r>
  <r>
    <s v="WV"/>
    <x v="53"/>
    <s v="Wetzel"/>
    <n v="14442"/>
    <n v="359"/>
  </r>
  <r>
    <s v="WV"/>
    <x v="53"/>
    <s v="Wirt"/>
    <n v="5194"/>
    <n v="233"/>
  </r>
  <r>
    <s v="WV"/>
    <x v="53"/>
    <s v="Wood"/>
    <n v="84296"/>
    <n v="367"/>
  </r>
  <r>
    <s v="WV"/>
    <x v="53"/>
    <s v="Wyoming"/>
    <n v="21382"/>
    <n v="501"/>
  </r>
  <r>
    <s v="WI"/>
    <x v="54"/>
    <s v="Adams"/>
    <n v="20654"/>
    <n v="645.65"/>
  </r>
  <r>
    <s v="WI"/>
    <x v="54"/>
    <s v="Ashland"/>
    <n v="16027"/>
    <n v="1045.04"/>
  </r>
  <r>
    <s v="WI"/>
    <x v="54"/>
    <s v="Barron"/>
    <n v="46711"/>
    <n v="862.71"/>
  </r>
  <r>
    <s v="WI"/>
    <x v="54"/>
    <s v="Bayfield"/>
    <n v="16220"/>
    <n v="1477.86"/>
  </r>
  <r>
    <s v="WI"/>
    <x v="54"/>
    <s v="Brown"/>
    <n v="268740"/>
    <n v="529.71"/>
  </r>
  <r>
    <s v="WI"/>
    <x v="54"/>
    <s v="Buffalo"/>
    <n v="13317"/>
    <n v="671.64"/>
  </r>
  <r>
    <s v="WI"/>
    <x v="54"/>
    <s v="Burnett"/>
    <n v="16526"/>
    <n v="821.85"/>
  </r>
  <r>
    <s v="WI"/>
    <x v="54"/>
    <s v="Calumet"/>
    <n v="52442"/>
    <n v="318.24"/>
  </r>
  <r>
    <s v="WI"/>
    <x v="54"/>
    <s v="Chippewa"/>
    <n v="66297"/>
    <n v="1008.37"/>
  </r>
  <r>
    <s v="WI"/>
    <x v="54"/>
    <s v="Clark"/>
    <n v="34659"/>
    <n v="1209.82"/>
  </r>
  <r>
    <s v="WI"/>
    <x v="54"/>
    <s v="Columbia"/>
    <n v="58490"/>
    <n v="765.53"/>
  </r>
  <r>
    <s v="WI"/>
    <x v="54"/>
    <s v="Crawford"/>
    <n v="16113"/>
    <n v="570.66"/>
  </r>
  <r>
    <s v="WI"/>
    <x v="54"/>
    <s v="Dane"/>
    <n v="561504"/>
    <n v="1197.24"/>
  </r>
  <r>
    <s v="WI"/>
    <x v="54"/>
    <s v="Dodge"/>
    <n v="89396"/>
    <n v="875.63"/>
  </r>
  <r>
    <s v="WI"/>
    <x v="54"/>
    <s v="Door"/>
    <n v="30066"/>
    <n v="481.98"/>
  </r>
  <r>
    <s v="WI"/>
    <x v="54"/>
    <s v="Douglas"/>
    <n v="44295"/>
    <n v="1304.1400000000001"/>
  </r>
  <r>
    <s v="WI"/>
    <x v="54"/>
    <s v="Dunn"/>
    <n v="45440"/>
    <n v="850.11"/>
  </r>
  <r>
    <s v="WI"/>
    <x v="54"/>
    <s v="Eau Claire"/>
    <n v="105710"/>
    <n v="637.98"/>
  </r>
  <r>
    <s v="WI"/>
    <x v="54"/>
    <s v="Florence"/>
    <n v="4558"/>
    <n v="488.2"/>
  </r>
  <r>
    <s v="WI"/>
    <x v="54"/>
    <s v="Fond du Lac"/>
    <n v="104154"/>
    <n v="719.55"/>
  </r>
  <r>
    <s v="WI"/>
    <x v="54"/>
    <s v="Forest"/>
    <n v="9179"/>
    <n v="1014.07"/>
  </r>
  <r>
    <s v="WI"/>
    <x v="54"/>
    <s v="Grant"/>
    <n v="51938"/>
    <n v="1146.8499999999999"/>
  </r>
  <r>
    <s v="WI"/>
    <x v="54"/>
    <s v="Green"/>
    <n v="37093"/>
    <n v="583.96"/>
  </r>
  <r>
    <s v="WI"/>
    <x v="54"/>
    <s v="Green Lake"/>
    <n v="19018"/>
    <n v="349.44"/>
  </r>
  <r>
    <s v="WI"/>
    <x v="54"/>
    <s v="Iowa"/>
    <n v="23709"/>
    <n v="762.58"/>
  </r>
  <r>
    <s v="WI"/>
    <x v="54"/>
    <s v="Iron"/>
    <n v="6137"/>
    <n v="758.17"/>
  </r>
  <r>
    <s v="WI"/>
    <x v="54"/>
    <s v="Jackson"/>
    <n v="21145"/>
    <n v="987.72"/>
  </r>
  <r>
    <s v="WI"/>
    <x v="54"/>
    <s v="Jefferson"/>
    <n v="84900"/>
    <n v="556.47"/>
  </r>
  <r>
    <s v="WI"/>
    <x v="54"/>
    <s v="Juneau"/>
    <n v="26718"/>
    <n v="766.93"/>
  </r>
  <r>
    <s v="WI"/>
    <x v="54"/>
    <s v="Kenosha"/>
    <n v="169151"/>
    <n v="271.99"/>
  </r>
  <r>
    <s v="WI"/>
    <x v="54"/>
    <s v="Kewaunee"/>
    <n v="20563"/>
    <n v="342.52"/>
  </r>
  <r>
    <s v="WI"/>
    <x v="54"/>
    <s v="La Crosse"/>
    <n v="120784"/>
    <n v="451.69"/>
  </r>
  <r>
    <s v="WI"/>
    <x v="54"/>
    <s v="Lafayette"/>
    <n v="16611"/>
    <n v="633.59"/>
  </r>
  <r>
    <s v="WI"/>
    <x v="54"/>
    <s v="Langlade"/>
    <n v="19491"/>
    <n v="870.64"/>
  </r>
  <r>
    <s v="WI"/>
    <x v="54"/>
    <s v="Lincoln"/>
    <n v="28415"/>
    <n v="878.97"/>
  </r>
  <r>
    <s v="WI"/>
    <x v="54"/>
    <s v="Manitowoc"/>
    <n v="81359"/>
    <n v="589.08000000000004"/>
  </r>
  <r>
    <s v="WI"/>
    <x v="54"/>
    <s v="Marathon"/>
    <n v="138013"/>
    <n v="1544.98"/>
  </r>
  <r>
    <s v="WI"/>
    <x v="54"/>
    <s v="Marinette"/>
    <n v="41872"/>
    <n v="1399.35"/>
  </r>
  <r>
    <s v="WI"/>
    <x v="54"/>
    <s v="Marquette"/>
    <n v="15592"/>
    <n v="455.6"/>
  </r>
  <r>
    <s v="WI"/>
    <x v="54"/>
    <s v="Menominee"/>
    <n v="4255"/>
    <n v="357.61"/>
  </r>
  <r>
    <s v="WI"/>
    <x v="54"/>
    <s v="Milwaukee"/>
    <n v="939489"/>
    <n v="241.4"/>
  </r>
  <r>
    <s v="WI"/>
    <x v="54"/>
    <s v="Monroe"/>
    <n v="46274"/>
    <n v="900.78"/>
  </r>
  <r>
    <s v="WI"/>
    <x v="54"/>
    <s v="Oconto"/>
    <n v="38965"/>
    <n v="997.99"/>
  </r>
  <r>
    <s v="WI"/>
    <x v="54"/>
    <s v="Oneida"/>
    <n v="37845"/>
    <n v="1112.97"/>
  </r>
  <r>
    <s v="WI"/>
    <x v="54"/>
    <s v="Outagamie"/>
    <n v="190705"/>
    <n v="637.52"/>
  </r>
  <r>
    <s v="WI"/>
    <x v="54"/>
    <s v="Ozaukee"/>
    <n v="91503"/>
    <n v="233.08"/>
  </r>
  <r>
    <s v="WI"/>
    <x v="54"/>
    <s v="Pepin"/>
    <n v="7318"/>
    <n v="231.98"/>
  </r>
  <r>
    <s v="WI"/>
    <x v="54"/>
    <s v="Pierce"/>
    <n v="42212"/>
    <n v="573.75"/>
  </r>
  <r>
    <s v="WI"/>
    <x v="54"/>
    <s v="Polk"/>
    <n v="44977"/>
    <n v="913.96"/>
  </r>
  <r>
    <s v="WI"/>
    <x v="54"/>
    <s v="Portage"/>
    <n v="70377"/>
    <n v="800.68"/>
  </r>
  <r>
    <s v="WI"/>
    <x v="54"/>
    <s v="Price"/>
    <n v="14054"/>
    <n v="1254.3800000000001"/>
  </r>
  <r>
    <s v="WI"/>
    <x v="54"/>
    <s v="Racine"/>
    <n v="197727"/>
    <n v="332.5"/>
  </r>
  <r>
    <s v="WI"/>
    <x v="54"/>
    <s v="Richland"/>
    <n v="17304"/>
    <n v="586.15"/>
  </r>
  <r>
    <s v="WI"/>
    <x v="54"/>
    <s v="Rock"/>
    <n v="163687"/>
    <n v="718.14"/>
  </r>
  <r>
    <s v="WI"/>
    <x v="54"/>
    <s v="Rusk"/>
    <n v="14188"/>
    <n v="913.59"/>
  </r>
  <r>
    <s v="WI"/>
    <x v="54"/>
    <s v="St. Croix"/>
    <n v="93536"/>
    <n v="830.9"/>
  </r>
  <r>
    <s v="WI"/>
    <x v="54"/>
    <s v="Sauk"/>
    <n v="65763"/>
    <n v="1257.31"/>
  </r>
  <r>
    <s v="WI"/>
    <x v="54"/>
    <s v="Sawyer"/>
    <n v="18074"/>
    <n v="893.06"/>
  </r>
  <r>
    <s v="WI"/>
    <x v="54"/>
    <s v="Shawano"/>
    <n v="40881"/>
    <n v="511.27"/>
  </r>
  <r>
    <s v="WI"/>
    <x v="54"/>
    <s v="Sheboygan"/>
    <n v="118034"/>
    <n v="722.33"/>
  </r>
  <r>
    <s v="WI"/>
    <x v="54"/>
    <s v="Taylor"/>
    <n v="19913"/>
    <n v="974.88"/>
  </r>
  <r>
    <s v="WI"/>
    <x v="54"/>
    <s v="Trempealeau"/>
    <n v="30760"/>
    <n v="732.97"/>
  </r>
  <r>
    <s v="WI"/>
    <x v="54"/>
    <s v="Vernon"/>
    <n v="30714"/>
    <n v="791.58"/>
  </r>
  <r>
    <s v="WI"/>
    <x v="54"/>
    <s v="Vilas"/>
    <n v="23047"/>
    <n v="856.6"/>
  </r>
  <r>
    <s v="WI"/>
    <x v="54"/>
    <s v="Walworth"/>
    <n v="106478"/>
    <n v="555.13"/>
  </r>
  <r>
    <s v="WI"/>
    <x v="54"/>
    <s v="Washburn"/>
    <n v="16623"/>
    <n v="797.11"/>
  </r>
  <r>
    <s v="WI"/>
    <x v="54"/>
    <s v="Washington"/>
    <n v="136761"/>
    <n v="430.7"/>
  </r>
  <r>
    <s v="WI"/>
    <x v="54"/>
    <s v="Waukesha"/>
    <n v="406978"/>
    <n v="549.57000000000005"/>
  </r>
  <r>
    <s v="WI"/>
    <x v="54"/>
    <s v="Waupaca"/>
    <n v="51812"/>
    <n v="747.71"/>
  </r>
  <r>
    <s v="WI"/>
    <x v="54"/>
    <s v="Waushara"/>
    <n v="24520"/>
    <n v="626.15"/>
  </r>
  <r>
    <s v="WI"/>
    <x v="54"/>
    <s v="Winnebago"/>
    <n v="171730"/>
    <n v="434.49"/>
  </r>
  <r>
    <s v="WI"/>
    <x v="54"/>
    <s v="Wood"/>
    <n v="74207"/>
    <n v="793.12"/>
  </r>
  <r>
    <s v="WY"/>
    <x v="55"/>
    <s v="Albany"/>
    <n v="37066"/>
    <n v="4274"/>
  </r>
  <r>
    <s v="WY"/>
    <x v="55"/>
    <s v="Big Horn"/>
    <n v="11521"/>
    <n v="3137"/>
  </r>
  <r>
    <s v="WY"/>
    <x v="55"/>
    <s v="Campbell"/>
    <n v="47026"/>
    <n v="4797"/>
  </r>
  <r>
    <s v="WY"/>
    <x v="55"/>
    <s v="Carbon"/>
    <n v="14537"/>
    <n v="7897"/>
  </r>
  <r>
    <s v="WY"/>
    <x v="55"/>
    <s v="Converse"/>
    <n v="13751"/>
    <n v="4255"/>
  </r>
  <r>
    <s v="WY"/>
    <x v="55"/>
    <s v="Crook"/>
    <n v="7181"/>
    <n v="2859"/>
  </r>
  <r>
    <s v="WY"/>
    <x v="55"/>
    <s v="Fremont"/>
    <n v="39234"/>
    <n v="9183"/>
  </r>
  <r>
    <s v="WY"/>
    <x v="55"/>
    <s v="Goshen"/>
    <n v="12498"/>
    <n v="2225"/>
  </r>
  <r>
    <s v="WY"/>
    <x v="55"/>
    <s v="Hot Springs"/>
    <n v="4621"/>
    <n v="2004"/>
  </r>
  <r>
    <s v="WY"/>
    <x v="55"/>
    <s v="Johnson"/>
    <n v="8447"/>
    <n v="4166"/>
  </r>
  <r>
    <s v="WY"/>
    <x v="55"/>
    <s v="Laramie"/>
    <n v="100512"/>
    <n v="2686"/>
  </r>
  <r>
    <s v="WY"/>
    <x v="55"/>
    <s v="Lincoln"/>
    <n v="19581"/>
    <n v="4069"/>
  </r>
  <r>
    <s v="WY"/>
    <x v="55"/>
    <s v="Natrona"/>
    <n v="79955"/>
    <n v="5340"/>
  </r>
  <r>
    <s v="WY"/>
    <x v="55"/>
    <s v="Niobrara"/>
    <n v="2467"/>
    <n v="2626"/>
  </r>
  <r>
    <s v="WY"/>
    <x v="55"/>
    <s v="Park"/>
    <n v="29624"/>
    <n v="6943"/>
  </r>
  <r>
    <s v="WY"/>
    <x v="55"/>
    <s v="Platte"/>
    <n v="8605"/>
    <n v="2085"/>
  </r>
  <r>
    <s v="WY"/>
    <x v="55"/>
    <s v="Sheridan"/>
    <n v="30921"/>
    <n v="2523"/>
  </r>
  <r>
    <s v="WY"/>
    <x v="55"/>
    <s v="Sublette"/>
    <n v="8728"/>
    <n v="4882"/>
  </r>
  <r>
    <s v="WY"/>
    <x v="55"/>
    <s v="Sweetwater"/>
    <n v="42272"/>
    <n v="10426"/>
  </r>
  <r>
    <s v="WY"/>
    <x v="55"/>
    <s v="Teton"/>
    <n v="23331"/>
    <n v="4008"/>
  </r>
  <r>
    <s v="WY"/>
    <x v="55"/>
    <s v="Uinta"/>
    <n v="20450"/>
    <n v="2082"/>
  </r>
  <r>
    <s v="WY"/>
    <x v="55"/>
    <s v="Washakie"/>
    <n v="7685"/>
    <n v="2240"/>
  </r>
  <r>
    <s v="WY"/>
    <x v="55"/>
    <s v="Weston"/>
    <n v="6838"/>
    <n v="2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1932D-3BFC-4715-B5F9-67BD8D9A062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0" firstHeaderRow="1" firstDataRow="1" firstDataCol="1"/>
  <pivotFields count="5">
    <pivotField showAll="0"/>
    <pivotField axis="axisRow" showAll="0" sortType="descending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"/>
  </rowFields>
  <rowItems count="57">
    <i>
      <x v="47"/>
    </i>
    <i>
      <x v="11"/>
    </i>
    <i>
      <x v="51"/>
    </i>
    <i>
      <x v="19"/>
    </i>
    <i>
      <x v="27"/>
    </i>
    <i>
      <x v="18"/>
    </i>
    <i>
      <x v="15"/>
    </i>
    <i>
      <x v="35"/>
    </i>
    <i>
      <x v="17"/>
    </i>
    <i>
      <x v="46"/>
    </i>
    <i>
      <x v="29"/>
    </i>
    <i>
      <x v="16"/>
    </i>
    <i>
      <x v="38"/>
    </i>
    <i>
      <x v="25"/>
    </i>
    <i>
      <x v="24"/>
    </i>
    <i>
      <x v="26"/>
    </i>
    <i>
      <x v="42"/>
    </i>
    <i>
      <x v="39"/>
    </i>
    <i>
      <x v="4"/>
    </i>
    <i>
      <x v="54"/>
    </i>
    <i>
      <x/>
    </i>
    <i>
      <x v="10"/>
    </i>
    <i>
      <x v="41"/>
    </i>
    <i>
      <x v="45"/>
    </i>
    <i>
      <x v="20"/>
    </i>
    <i>
      <x v="6"/>
    </i>
    <i>
      <x v="34"/>
    </i>
    <i>
      <x v="5"/>
    </i>
    <i>
      <x v="28"/>
    </i>
    <i>
      <x v="53"/>
    </i>
    <i>
      <x v="36"/>
    </i>
    <i>
      <x v="44"/>
    </i>
    <i>
      <x v="14"/>
    </i>
    <i>
      <x v="52"/>
    </i>
    <i>
      <x v="40"/>
    </i>
    <i>
      <x v="33"/>
    </i>
    <i>
      <x v="1"/>
    </i>
    <i>
      <x v="48"/>
    </i>
    <i>
      <x v="22"/>
    </i>
    <i>
      <x v="55"/>
    </i>
    <i>
      <x v="32"/>
    </i>
    <i>
      <x v="7"/>
    </i>
    <i>
      <x v="30"/>
    </i>
    <i>
      <x v="21"/>
    </i>
    <i>
      <x v="3"/>
    </i>
    <i>
      <x v="23"/>
    </i>
    <i>
      <x v="49"/>
    </i>
    <i>
      <x v="31"/>
    </i>
    <i>
      <x v="2"/>
    </i>
    <i>
      <x v="13"/>
    </i>
    <i>
      <x v="43"/>
    </i>
    <i>
      <x v="37"/>
    </i>
    <i>
      <x v="8"/>
    </i>
    <i>
      <x v="50"/>
    </i>
    <i>
      <x v="9"/>
    </i>
    <i>
      <x v="12"/>
    </i>
    <i t="grand">
      <x/>
    </i>
  </rowItems>
  <colItems count="1">
    <i/>
  </colItems>
  <dataFields count="1">
    <dataField name="Count of County_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94100-4F72-4C0A-B703-557D322ACB61}" name="Counties_by_State_Code" displayName="Counties_by_State_Code" ref="A1:E3244" totalsRowShown="0">
  <autoFilter ref="A1:E3244" xr:uid="{A9C94100-4F72-4C0A-B703-557D322ACB61}"/>
  <sortState xmlns:xlrd2="http://schemas.microsoft.com/office/spreadsheetml/2017/richdata2" ref="A2:E68">
    <sortCondition descending="1" ref="D1:D3244"/>
  </sortState>
  <tableColumns count="5">
    <tableColumn id="1" xr3:uid="{4662E041-58E9-440A-ACBE-FDED442AE267}" name="State_Code"/>
    <tableColumn id="5" xr3:uid="{E239B77F-8F32-469F-B64B-C059FA9525FC}" name="State_Name" dataDxfId="0">
      <calculatedColumnFormula>VLOOKUP(Counties_by_State_Code[[#This Row],[State_Code]],Territory_by_Code[],2)</calculatedColumnFormula>
    </tableColumn>
    <tableColumn id="2" xr3:uid="{B0EFAD07-4BBD-41FD-A802-28526450A6A5}" name="County_Name"/>
    <tableColumn id="3" xr3:uid="{DF843F63-6AE2-438A-AFF9-42C7A1FE5E4F}" name="Population (2020)"/>
    <tableColumn id="4" xr3:uid="{7E58DC43-88BE-4C5A-A362-11E2D987C214}" name="Area (mi2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00AF9-87BF-4A6A-B6AC-6EDE14374569}" name="Territory_by_Code" displayName="Territory_by_Code" ref="A1:C58" totalsRowShown="0">
  <autoFilter ref="A1:C58" xr:uid="{2E600AF9-87BF-4A6A-B6AC-6EDE14374569}"/>
  <sortState xmlns:xlrd2="http://schemas.microsoft.com/office/spreadsheetml/2017/richdata2" ref="A2:C58">
    <sortCondition ref="A1:A58"/>
  </sortState>
  <tableColumns count="3">
    <tableColumn id="1" xr3:uid="{7F7DD831-C705-45D2-8AA5-20DC3AFE2B94}" name="Code"/>
    <tableColumn id="2" xr3:uid="{EEA468A1-54C5-43AE-9619-8414F3332091}" name="Territory_Name"/>
    <tableColumn id="3" xr3:uid="{F3E7E905-AB7B-4730-90F0-3E7B6204B2F1}" name="Territory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11C8-B7AB-437B-81E0-AE2AF7C2639A}">
  <dimension ref="A3:B60"/>
  <sheetViews>
    <sheetView tabSelected="1" workbookViewId="0">
      <selection activeCell="A3" sqref="A3"/>
    </sheetView>
  </sheetViews>
  <sheetFormatPr defaultRowHeight="15" x14ac:dyDescent="0.25"/>
  <cols>
    <col min="1" max="1" width="24.140625" bestFit="1" customWidth="1"/>
    <col min="2" max="2" width="22.42578125" bestFit="1" customWidth="1"/>
  </cols>
  <sheetData>
    <row r="3" spans="1:2" x14ac:dyDescent="0.25">
      <c r="A3" s="1" t="s">
        <v>2054</v>
      </c>
      <c r="B3" t="s">
        <v>2056</v>
      </c>
    </row>
    <row r="4" spans="1:2" x14ac:dyDescent="0.25">
      <c r="A4" s="2" t="s">
        <v>1070</v>
      </c>
      <c r="B4" s="3">
        <v>254</v>
      </c>
    </row>
    <row r="5" spans="1:2" x14ac:dyDescent="0.25">
      <c r="A5" s="2" t="s">
        <v>2020</v>
      </c>
      <c r="B5" s="3">
        <v>159</v>
      </c>
    </row>
    <row r="6" spans="1:2" x14ac:dyDescent="0.25">
      <c r="A6" s="2" t="s">
        <v>2049</v>
      </c>
      <c r="B6" s="3">
        <v>133</v>
      </c>
    </row>
    <row r="7" spans="1:2" x14ac:dyDescent="0.25">
      <c r="A7" s="2" t="s">
        <v>2023</v>
      </c>
      <c r="B7" s="3">
        <v>120</v>
      </c>
    </row>
    <row r="8" spans="1:2" x14ac:dyDescent="0.25">
      <c r="A8" s="2" t="s">
        <v>2030</v>
      </c>
      <c r="B8" s="3">
        <v>115</v>
      </c>
    </row>
    <row r="9" spans="1:2" x14ac:dyDescent="0.25">
      <c r="A9" s="2" t="s">
        <v>2022</v>
      </c>
      <c r="B9" s="3">
        <v>105</v>
      </c>
    </row>
    <row r="10" spans="1:2" x14ac:dyDescent="0.25">
      <c r="A10" s="2" t="s">
        <v>2021</v>
      </c>
      <c r="B10" s="3">
        <v>102</v>
      </c>
    </row>
    <row r="11" spans="1:2" x14ac:dyDescent="0.25">
      <c r="A11" s="2" t="s">
        <v>2036</v>
      </c>
      <c r="B11" s="3">
        <v>100</v>
      </c>
    </row>
    <row r="12" spans="1:2" x14ac:dyDescent="0.25">
      <c r="A12" s="2" t="s">
        <v>633</v>
      </c>
      <c r="B12" s="3">
        <v>99</v>
      </c>
    </row>
    <row r="13" spans="1:2" x14ac:dyDescent="0.25">
      <c r="A13" s="2" t="s">
        <v>2044</v>
      </c>
      <c r="B13" s="3">
        <v>95</v>
      </c>
    </row>
    <row r="14" spans="1:2" x14ac:dyDescent="0.25">
      <c r="A14" s="2" t="s">
        <v>2032</v>
      </c>
      <c r="B14" s="3">
        <v>93</v>
      </c>
    </row>
    <row r="15" spans="1:2" x14ac:dyDescent="0.25">
      <c r="A15" s="2" t="s">
        <v>1450</v>
      </c>
      <c r="B15" s="3">
        <v>92</v>
      </c>
    </row>
    <row r="16" spans="1:2" x14ac:dyDescent="0.25">
      <c r="A16" s="2" t="s">
        <v>593</v>
      </c>
      <c r="B16" s="3">
        <v>88</v>
      </c>
    </row>
    <row r="17" spans="1:2" x14ac:dyDescent="0.25">
      <c r="A17" s="2" t="s">
        <v>2029</v>
      </c>
      <c r="B17" s="3">
        <v>87</v>
      </c>
    </row>
    <row r="18" spans="1:2" x14ac:dyDescent="0.25">
      <c r="A18" s="2" t="s">
        <v>2028</v>
      </c>
      <c r="B18" s="3">
        <v>83</v>
      </c>
    </row>
    <row r="19" spans="1:2" x14ac:dyDescent="0.25">
      <c r="A19" s="2" t="s">
        <v>156</v>
      </c>
      <c r="B19" s="3">
        <v>82</v>
      </c>
    </row>
    <row r="20" spans="1:2" x14ac:dyDescent="0.25">
      <c r="A20" s="2" t="s">
        <v>2040</v>
      </c>
      <c r="B20" s="3">
        <v>78</v>
      </c>
    </row>
    <row r="21" spans="1:2" x14ac:dyDescent="0.25">
      <c r="A21" s="2" t="s">
        <v>1404</v>
      </c>
      <c r="B21" s="3">
        <v>77</v>
      </c>
    </row>
    <row r="22" spans="1:2" x14ac:dyDescent="0.25">
      <c r="A22" s="2" t="s">
        <v>121</v>
      </c>
      <c r="B22" s="3">
        <v>75</v>
      </c>
    </row>
    <row r="23" spans="1:2" x14ac:dyDescent="0.25">
      <c r="A23" s="2" t="s">
        <v>2051</v>
      </c>
      <c r="B23" s="3">
        <v>72</v>
      </c>
    </row>
    <row r="24" spans="1:2" x14ac:dyDescent="0.25">
      <c r="A24" s="2" t="s">
        <v>2011</v>
      </c>
      <c r="B24" s="3">
        <v>67</v>
      </c>
    </row>
    <row r="25" spans="1:2" x14ac:dyDescent="0.25">
      <c r="A25" s="2" t="s">
        <v>1496</v>
      </c>
      <c r="B25" s="3">
        <v>67</v>
      </c>
    </row>
    <row r="26" spans="1:2" x14ac:dyDescent="0.25">
      <c r="A26" s="2" t="s">
        <v>2039</v>
      </c>
      <c r="B26" s="3">
        <v>67</v>
      </c>
    </row>
    <row r="27" spans="1:2" x14ac:dyDescent="0.25">
      <c r="A27" s="2" t="s">
        <v>2043</v>
      </c>
      <c r="B27" s="3">
        <v>66</v>
      </c>
    </row>
    <row r="28" spans="1:2" x14ac:dyDescent="0.25">
      <c r="A28" s="2" t="s">
        <v>2024</v>
      </c>
      <c r="B28" s="3">
        <v>64</v>
      </c>
    </row>
    <row r="29" spans="1:2" x14ac:dyDescent="0.25">
      <c r="A29" s="2" t="s">
        <v>1676</v>
      </c>
      <c r="B29" s="3">
        <v>64</v>
      </c>
    </row>
    <row r="30" spans="1:2" x14ac:dyDescent="0.25">
      <c r="A30" s="2" t="s">
        <v>1219</v>
      </c>
      <c r="B30" s="3">
        <v>62</v>
      </c>
    </row>
    <row r="31" spans="1:2" x14ac:dyDescent="0.25">
      <c r="A31" s="2" t="s">
        <v>2017</v>
      </c>
      <c r="B31" s="3">
        <v>58</v>
      </c>
    </row>
    <row r="32" spans="1:2" x14ac:dyDescent="0.25">
      <c r="A32" s="2" t="s">
        <v>2031</v>
      </c>
      <c r="B32" s="3">
        <v>56</v>
      </c>
    </row>
    <row r="33" spans="1:2" x14ac:dyDescent="0.25">
      <c r="A33" s="2" t="s">
        <v>2050</v>
      </c>
      <c r="B33" s="3">
        <v>55</v>
      </c>
    </row>
    <row r="34" spans="1:2" x14ac:dyDescent="0.25">
      <c r="A34" s="2" t="s">
        <v>2037</v>
      </c>
      <c r="B34" s="3">
        <v>53</v>
      </c>
    </row>
    <row r="35" spans="1:2" x14ac:dyDescent="0.25">
      <c r="A35" s="2" t="s">
        <v>2042</v>
      </c>
      <c r="B35" s="3">
        <v>46</v>
      </c>
    </row>
    <row r="36" spans="1:2" x14ac:dyDescent="0.25">
      <c r="A36" s="2" t="s">
        <v>501</v>
      </c>
      <c r="B36" s="3">
        <v>44</v>
      </c>
    </row>
    <row r="37" spans="1:2" x14ac:dyDescent="0.25">
      <c r="A37" s="2" t="s">
        <v>65</v>
      </c>
      <c r="B37" s="3">
        <v>39</v>
      </c>
    </row>
    <row r="38" spans="1:2" x14ac:dyDescent="0.25">
      <c r="A38" s="2" t="s">
        <v>1055</v>
      </c>
      <c r="B38" s="3">
        <v>36</v>
      </c>
    </row>
    <row r="39" spans="1:2" x14ac:dyDescent="0.25">
      <c r="A39" s="2" t="s">
        <v>2035</v>
      </c>
      <c r="B39" s="3">
        <v>33</v>
      </c>
    </row>
    <row r="40" spans="1:2" x14ac:dyDescent="0.25">
      <c r="A40" s="2" t="s">
        <v>2013</v>
      </c>
      <c r="B40" s="3">
        <v>30</v>
      </c>
    </row>
    <row r="41" spans="1:2" x14ac:dyDescent="0.25">
      <c r="A41" s="2" t="s">
        <v>1817</v>
      </c>
      <c r="B41" s="3">
        <v>29</v>
      </c>
    </row>
    <row r="42" spans="1:2" x14ac:dyDescent="0.25">
      <c r="A42" s="2" t="s">
        <v>2026</v>
      </c>
      <c r="B42" s="3">
        <v>24</v>
      </c>
    </row>
    <row r="43" spans="1:2" x14ac:dyDescent="0.25">
      <c r="A43" s="2" t="s">
        <v>1236</v>
      </c>
      <c r="B43" s="3">
        <v>23</v>
      </c>
    </row>
    <row r="44" spans="1:2" x14ac:dyDescent="0.25">
      <c r="A44" s="2" t="s">
        <v>2034</v>
      </c>
      <c r="B44" s="3">
        <v>21</v>
      </c>
    </row>
    <row r="45" spans="1:2" x14ac:dyDescent="0.25">
      <c r="A45" s="2" t="s">
        <v>2018</v>
      </c>
      <c r="B45" s="3">
        <v>17</v>
      </c>
    </row>
    <row r="46" spans="1:2" x14ac:dyDescent="0.25">
      <c r="A46" s="2" t="s">
        <v>157</v>
      </c>
      <c r="B46" s="3">
        <v>17</v>
      </c>
    </row>
    <row r="47" spans="1:2" x14ac:dyDescent="0.25">
      <c r="A47" s="2" t="s">
        <v>2025</v>
      </c>
      <c r="B47" s="3">
        <v>16</v>
      </c>
    </row>
    <row r="48" spans="1:2" x14ac:dyDescent="0.25">
      <c r="A48" s="2" t="s">
        <v>2016</v>
      </c>
      <c r="B48" s="3">
        <v>15</v>
      </c>
    </row>
    <row r="49" spans="1:2" x14ac:dyDescent="0.25">
      <c r="A49" s="2" t="s">
        <v>2027</v>
      </c>
      <c r="B49" s="3">
        <v>14</v>
      </c>
    </row>
    <row r="50" spans="1:2" x14ac:dyDescent="0.25">
      <c r="A50" s="2" t="s">
        <v>2047</v>
      </c>
      <c r="B50" s="3">
        <v>14</v>
      </c>
    </row>
    <row r="51" spans="1:2" x14ac:dyDescent="0.25">
      <c r="A51" s="2" t="s">
        <v>2033</v>
      </c>
      <c r="B51" s="3">
        <v>10</v>
      </c>
    </row>
    <row r="52" spans="1:2" x14ac:dyDescent="0.25">
      <c r="A52" s="2" t="s">
        <v>2014</v>
      </c>
      <c r="B52" s="3">
        <v>5</v>
      </c>
    </row>
    <row r="53" spans="1:2" x14ac:dyDescent="0.25">
      <c r="A53" s="2" t="s">
        <v>477</v>
      </c>
      <c r="B53" s="3">
        <v>5</v>
      </c>
    </row>
    <row r="54" spans="1:2" x14ac:dyDescent="0.25">
      <c r="A54" s="2" t="s">
        <v>2041</v>
      </c>
      <c r="B54" s="3">
        <v>5</v>
      </c>
    </row>
    <row r="55" spans="1:2" x14ac:dyDescent="0.25">
      <c r="A55" s="2" t="s">
        <v>2038</v>
      </c>
      <c r="B55" s="3">
        <v>4</v>
      </c>
    </row>
    <row r="56" spans="1:2" x14ac:dyDescent="0.25">
      <c r="A56" s="2" t="s">
        <v>578</v>
      </c>
      <c r="B56" s="3">
        <v>3</v>
      </c>
    </row>
    <row r="57" spans="1:2" x14ac:dyDescent="0.25">
      <c r="A57" s="2" t="s">
        <v>2048</v>
      </c>
      <c r="B57" s="3">
        <v>3</v>
      </c>
    </row>
    <row r="58" spans="1:2" x14ac:dyDescent="0.25">
      <c r="A58" s="2" t="s">
        <v>314</v>
      </c>
      <c r="B58" s="3">
        <v>1</v>
      </c>
    </row>
    <row r="59" spans="1:2" x14ac:dyDescent="0.25">
      <c r="A59" s="2" t="s">
        <v>475</v>
      </c>
      <c r="B59" s="3">
        <v>1</v>
      </c>
    </row>
    <row r="60" spans="1:2" x14ac:dyDescent="0.25">
      <c r="A60" s="2" t="s">
        <v>2055</v>
      </c>
      <c r="B60" s="3">
        <v>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AC01-8EE2-405D-AECC-D2734FEEF59E}">
  <dimension ref="A1:E3244"/>
  <sheetViews>
    <sheetView topLeftCell="A2" workbookViewId="0"/>
  </sheetViews>
  <sheetFormatPr defaultRowHeight="15" x14ac:dyDescent="0.25"/>
  <cols>
    <col min="1" max="1" width="12.7109375" customWidth="1"/>
    <col min="2" max="2" width="24.140625" bestFit="1" customWidth="1"/>
    <col min="3" max="3" width="28" bestFit="1" customWidth="1"/>
    <col min="4" max="4" width="18.7109375" customWidth="1"/>
    <col min="5" max="5" width="12.28515625" customWidth="1"/>
  </cols>
  <sheetData>
    <row r="1" spans="1:5" x14ac:dyDescent="0.25">
      <c r="A1" t="s">
        <v>2005</v>
      </c>
      <c r="B1" t="s">
        <v>2052</v>
      </c>
      <c r="C1" t="s">
        <v>2053</v>
      </c>
      <c r="D1" t="s">
        <v>2007</v>
      </c>
      <c r="E1" t="s">
        <v>2006</v>
      </c>
    </row>
    <row r="2" spans="1:5" x14ac:dyDescent="0.25">
      <c r="A2" t="s">
        <v>1</v>
      </c>
      <c r="B2" t="str">
        <f>VLOOKUP(Counties_by_State_Code[[#This Row],[State_Code]],Territory_by_Code[],2)</f>
        <v>Alabama</v>
      </c>
      <c r="C2" t="s">
        <v>37</v>
      </c>
      <c r="D2">
        <v>674721</v>
      </c>
      <c r="E2">
        <v>1111.28</v>
      </c>
    </row>
    <row r="3" spans="1:5" x14ac:dyDescent="0.25">
      <c r="A3" t="s">
        <v>1</v>
      </c>
      <c r="B3" t="str">
        <f>VLOOKUP(Counties_by_State_Code[[#This Row],[State_Code]],Territory_by_Code[],2)</f>
        <v>Alabama</v>
      </c>
      <c r="C3" t="s">
        <v>49</v>
      </c>
      <c r="D3">
        <v>414809</v>
      </c>
      <c r="E3">
        <v>1229.44</v>
      </c>
    </row>
    <row r="4" spans="1:5" x14ac:dyDescent="0.25">
      <c r="A4" t="s">
        <v>1</v>
      </c>
      <c r="B4" t="str">
        <f>VLOOKUP(Counties_by_State_Code[[#This Row],[State_Code]],Territory_by_Code[],2)</f>
        <v>Alabama</v>
      </c>
      <c r="C4" t="s">
        <v>45</v>
      </c>
      <c r="D4">
        <v>388153</v>
      </c>
      <c r="E4">
        <v>801.59</v>
      </c>
    </row>
    <row r="5" spans="1:5" x14ac:dyDescent="0.25">
      <c r="A5" t="s">
        <v>1</v>
      </c>
      <c r="B5" t="str">
        <f>VLOOKUP(Counties_by_State_Code[[#This Row],[State_Code]],Territory_by_Code[],2)</f>
        <v>Alabama</v>
      </c>
      <c r="C5" t="s">
        <v>2</v>
      </c>
      <c r="D5">
        <v>231767</v>
      </c>
      <c r="E5">
        <v>1589.78</v>
      </c>
    </row>
    <row r="6" spans="1:5" x14ac:dyDescent="0.25">
      <c r="A6" t="s">
        <v>1</v>
      </c>
      <c r="B6" t="str">
        <f>VLOOKUP(Counties_by_State_Code[[#This Row],[State_Code]],Territory_by_Code[],2)</f>
        <v>Alabama</v>
      </c>
      <c r="C6" t="s">
        <v>51</v>
      </c>
      <c r="D6">
        <v>228954</v>
      </c>
      <c r="E6">
        <v>784.25</v>
      </c>
    </row>
    <row r="7" spans="1:5" x14ac:dyDescent="0.25">
      <c r="A7" t="s">
        <v>1</v>
      </c>
      <c r="B7" t="str">
        <f>VLOOKUP(Counties_by_State_Code[[#This Row],[State_Code]],Territory_by_Code[],2)</f>
        <v>Alabama</v>
      </c>
      <c r="C7" t="s">
        <v>63</v>
      </c>
      <c r="D7">
        <v>227036</v>
      </c>
      <c r="E7">
        <v>1321.75</v>
      </c>
    </row>
    <row r="8" spans="1:5" x14ac:dyDescent="0.25">
      <c r="A8" t="s">
        <v>1</v>
      </c>
      <c r="B8" t="str">
        <f>VLOOKUP(Counties_by_State_Code[[#This Row],[State_Code]],Territory_by_Code[],2)</f>
        <v>Alabama</v>
      </c>
      <c r="C8" t="s">
        <v>58</v>
      </c>
      <c r="D8">
        <v>223024</v>
      </c>
      <c r="E8">
        <v>784.93</v>
      </c>
    </row>
    <row r="9" spans="1:5" x14ac:dyDescent="0.25">
      <c r="A9" t="s">
        <v>1</v>
      </c>
      <c r="B9" t="str">
        <f>VLOOKUP(Counties_by_State_Code[[#This Row],[State_Code]],Territory_by_Code[],2)</f>
        <v>Alabama</v>
      </c>
      <c r="C9" t="s">
        <v>41</v>
      </c>
      <c r="D9">
        <v>174241</v>
      </c>
      <c r="E9">
        <v>607.54</v>
      </c>
    </row>
    <row r="10" spans="1:5" x14ac:dyDescent="0.25">
      <c r="A10" t="s">
        <v>1</v>
      </c>
      <c r="B10" t="str">
        <f>VLOOKUP(Counties_by_State_Code[[#This Row],[State_Code]],Territory_by_Code[],2)</f>
        <v>Alabama</v>
      </c>
      <c r="C10" t="s">
        <v>52</v>
      </c>
      <c r="D10">
        <v>123421</v>
      </c>
      <c r="E10">
        <v>579.34</v>
      </c>
    </row>
    <row r="11" spans="1:5" x14ac:dyDescent="0.25">
      <c r="A11" t="s">
        <v>1</v>
      </c>
      <c r="B11" t="str">
        <f>VLOOKUP(Counties_by_State_Code[[#This Row],[State_Code]],Territory_by_Code[],2)</f>
        <v>Alabama</v>
      </c>
      <c r="C11" t="s">
        <v>8</v>
      </c>
      <c r="D11">
        <v>116441</v>
      </c>
      <c r="E11">
        <v>605.87</v>
      </c>
    </row>
    <row r="12" spans="1:5" x14ac:dyDescent="0.25">
      <c r="A12" t="s">
        <v>1</v>
      </c>
      <c r="B12" t="str">
        <f>VLOOKUP(Counties_by_State_Code[[#This Row],[State_Code]],Territory_by_Code[],2)</f>
        <v>Alabama</v>
      </c>
      <c r="C12" t="s">
        <v>35</v>
      </c>
      <c r="D12">
        <v>107202</v>
      </c>
      <c r="E12">
        <v>579.82000000000005</v>
      </c>
    </row>
    <row r="13" spans="1:5" x14ac:dyDescent="0.25">
      <c r="A13" t="s">
        <v>1</v>
      </c>
      <c r="B13" t="str">
        <f>VLOOKUP(Counties_by_State_Code[[#This Row],[State_Code]],Territory_by_Code[],2)</f>
        <v>Alabama</v>
      </c>
      <c r="C13" t="s">
        <v>42</v>
      </c>
      <c r="D13">
        <v>103570</v>
      </c>
      <c r="E13">
        <v>559.94000000000005</v>
      </c>
    </row>
    <row r="14" spans="1:5" x14ac:dyDescent="0.25">
      <c r="A14" t="s">
        <v>1</v>
      </c>
      <c r="B14" t="str">
        <f>VLOOKUP(Counties_by_State_Code[[#This Row],[State_Code]],Territory_by_Code[],2)</f>
        <v>Alabama</v>
      </c>
      <c r="C14" t="s">
        <v>28</v>
      </c>
      <c r="D14">
        <v>103436</v>
      </c>
      <c r="E14">
        <v>534.99</v>
      </c>
    </row>
    <row r="15" spans="1:5" x14ac:dyDescent="0.25">
      <c r="A15" t="s">
        <v>1</v>
      </c>
      <c r="B15" t="str">
        <f>VLOOKUP(Counties_by_State_Code[[#This Row],[State_Code]],Territory_by_Code[],2)</f>
        <v>Alabama</v>
      </c>
      <c r="C15" t="s">
        <v>48</v>
      </c>
      <c r="D15">
        <v>97612</v>
      </c>
      <c r="E15">
        <v>565.84</v>
      </c>
    </row>
    <row r="16" spans="1:5" x14ac:dyDescent="0.25">
      <c r="A16" t="s">
        <v>1</v>
      </c>
      <c r="B16" t="str">
        <f>VLOOKUP(Counties_by_State_Code[[#This Row],[State_Code]],Territory_by_Code[],2)</f>
        <v>Alabama</v>
      </c>
      <c r="C16" t="s">
        <v>39</v>
      </c>
      <c r="D16">
        <v>93564</v>
      </c>
      <c r="E16">
        <v>667.7</v>
      </c>
    </row>
    <row r="17" spans="1:5" x14ac:dyDescent="0.25">
      <c r="A17" t="s">
        <v>1</v>
      </c>
      <c r="B17" t="str">
        <f>VLOOKUP(Counties_by_State_Code[[#This Row],[State_Code]],Territory_by_Code[],2)</f>
        <v>Alabama</v>
      </c>
      <c r="C17" t="s">
        <v>59</v>
      </c>
      <c r="D17">
        <v>91103</v>
      </c>
      <c r="E17">
        <v>631.9</v>
      </c>
    </row>
    <row r="18" spans="1:5" x14ac:dyDescent="0.25">
      <c r="A18" t="s">
        <v>1</v>
      </c>
      <c r="B18" t="str">
        <f>VLOOKUP(Counties_by_State_Code[[#This Row],[State_Code]],Territory_by_Code[],2)</f>
        <v>Alabama</v>
      </c>
      <c r="C18" t="s">
        <v>26</v>
      </c>
      <c r="D18">
        <v>87977</v>
      </c>
      <c r="E18">
        <v>618.48</v>
      </c>
    </row>
    <row r="19" spans="1:5" x14ac:dyDescent="0.25">
      <c r="A19" t="s">
        <v>1</v>
      </c>
      <c r="B19" t="str">
        <f>VLOOKUP(Counties_by_State_Code[[#This Row],[State_Code]],Territory_by_Code[],2)</f>
        <v>Alabama</v>
      </c>
      <c r="C19" t="s">
        <v>22</v>
      </c>
      <c r="D19">
        <v>87866</v>
      </c>
      <c r="E19">
        <v>734.84</v>
      </c>
    </row>
    <row r="20" spans="1:5" x14ac:dyDescent="0.25">
      <c r="A20" t="s">
        <v>1</v>
      </c>
      <c r="B20" t="str">
        <f>VLOOKUP(Counties_by_State_Code[[#This Row],[State_Code]],Territory_by_Code[],2)</f>
        <v>Alabama</v>
      </c>
      <c r="C20" t="s">
        <v>61</v>
      </c>
      <c r="D20">
        <v>82149</v>
      </c>
      <c r="E20">
        <v>736.78</v>
      </c>
    </row>
    <row r="21" spans="1:5" x14ac:dyDescent="0.25">
      <c r="A21" t="s">
        <v>1</v>
      </c>
      <c r="B21" t="str">
        <f>VLOOKUP(Counties_by_State_Code[[#This Row],[State_Code]],Territory_by_Code[],2)</f>
        <v>Alabama</v>
      </c>
      <c r="C21" t="s">
        <v>25</v>
      </c>
      <c r="D21">
        <v>71608</v>
      </c>
      <c r="E21">
        <v>777.09</v>
      </c>
    </row>
    <row r="22" spans="1:5" x14ac:dyDescent="0.25">
      <c r="A22" t="s">
        <v>1</v>
      </c>
      <c r="B22" t="str">
        <f>VLOOKUP(Counties_by_State_Code[[#This Row],[State_Code]],Territory_by_Code[],2)</f>
        <v>Alabama</v>
      </c>
      <c r="C22" t="s">
        <v>64</v>
      </c>
      <c r="D22">
        <v>65342</v>
      </c>
      <c r="E22">
        <v>791.19</v>
      </c>
    </row>
    <row r="23" spans="1:5" x14ac:dyDescent="0.25">
      <c r="A23" t="s">
        <v>1</v>
      </c>
      <c r="B23" t="str">
        <f>VLOOKUP(Counties_by_State_Code[[#This Row],[State_Code]],Territory_by_Code[],2)</f>
        <v>Alabama</v>
      </c>
      <c r="C23" t="s">
        <v>57</v>
      </c>
      <c r="D23">
        <v>59183</v>
      </c>
      <c r="E23">
        <v>641.14</v>
      </c>
    </row>
    <row r="24" spans="1:5" x14ac:dyDescent="0.25">
      <c r="A24" t="s">
        <v>1</v>
      </c>
      <c r="B24" t="str">
        <f>VLOOKUP(Counties_by_State_Code[[#This Row],[State_Code]],Territory_by_Code[],2)</f>
        <v>Alabama</v>
      </c>
      <c r="C24" t="s">
        <v>5</v>
      </c>
      <c r="D24">
        <v>59134</v>
      </c>
      <c r="E24">
        <v>644.78</v>
      </c>
    </row>
    <row r="25" spans="1:5" x14ac:dyDescent="0.25">
      <c r="A25" t="s">
        <v>1</v>
      </c>
      <c r="B25" t="str">
        <f>VLOOKUP(Counties_by_State_Code[[#This Row],[State_Code]],Territory_by_Code[],2)</f>
        <v>Alabama</v>
      </c>
      <c r="C25" t="s">
        <v>0</v>
      </c>
      <c r="D25">
        <v>58805</v>
      </c>
      <c r="E25">
        <v>594.44000000000005</v>
      </c>
    </row>
    <row r="26" spans="1:5" x14ac:dyDescent="0.25">
      <c r="A26" t="s">
        <v>1</v>
      </c>
      <c r="B26" t="str">
        <f>VLOOKUP(Counties_by_State_Code[[#This Row],[State_Code]],Territory_by_Code[],2)</f>
        <v>Alabama</v>
      </c>
      <c r="C26" t="s">
        <v>17</v>
      </c>
      <c r="D26">
        <v>57227</v>
      </c>
      <c r="E26">
        <v>592.62</v>
      </c>
    </row>
    <row r="27" spans="1:5" x14ac:dyDescent="0.25">
      <c r="A27" t="s">
        <v>1</v>
      </c>
      <c r="B27" t="str">
        <f>VLOOKUP(Counties_by_State_Code[[#This Row],[State_Code]],Territory_by_Code[],2)</f>
        <v>Alabama</v>
      </c>
      <c r="C27" t="s">
        <v>16</v>
      </c>
      <c r="D27">
        <v>53465</v>
      </c>
      <c r="E27">
        <v>678.97</v>
      </c>
    </row>
    <row r="28" spans="1:5" x14ac:dyDescent="0.25">
      <c r="A28" t="s">
        <v>1</v>
      </c>
      <c r="B28" t="str">
        <f>VLOOKUP(Counties_by_State_Code[[#This Row],[State_Code]],Territory_by_Code[],2)</f>
        <v>Alabama</v>
      </c>
      <c r="C28" t="s">
        <v>36</v>
      </c>
      <c r="D28">
        <v>52579</v>
      </c>
      <c r="E28">
        <v>1077.8699999999999</v>
      </c>
    </row>
    <row r="29" spans="1:5" x14ac:dyDescent="0.25">
      <c r="A29" t="s">
        <v>1</v>
      </c>
      <c r="B29" t="str">
        <f>VLOOKUP(Counties_by_State_Code[[#This Row],[State_Code]],Territory_by_Code[],2)</f>
        <v>Alabama</v>
      </c>
      <c r="C29" t="s">
        <v>23</v>
      </c>
      <c r="D29">
        <v>49326</v>
      </c>
      <c r="E29">
        <v>561.15</v>
      </c>
    </row>
    <row r="30" spans="1:5" x14ac:dyDescent="0.25">
      <c r="A30" t="s">
        <v>1</v>
      </c>
      <c r="B30" t="str">
        <f>VLOOKUP(Counties_by_State_Code[[#This Row],[State_Code]],Territory_by_Code[],2)</f>
        <v>Alabama</v>
      </c>
      <c r="C30" t="s">
        <v>11</v>
      </c>
      <c r="D30">
        <v>45014</v>
      </c>
      <c r="E30">
        <v>692.85</v>
      </c>
    </row>
    <row r="31" spans="1:5" x14ac:dyDescent="0.25">
      <c r="A31" t="s">
        <v>1</v>
      </c>
      <c r="B31" t="str">
        <f>VLOOKUP(Counties_by_State_Code[[#This Row],[State_Code]],Territory_by_Code[],2)</f>
        <v>Alabama</v>
      </c>
      <c r="C31" t="s">
        <v>62</v>
      </c>
      <c r="D31">
        <v>41311</v>
      </c>
      <c r="E31">
        <v>716.52</v>
      </c>
    </row>
    <row r="32" spans="1:5" x14ac:dyDescent="0.25">
      <c r="A32" t="s">
        <v>1</v>
      </c>
      <c r="B32" t="str">
        <f>VLOOKUP(Counties_by_State_Code[[#This Row],[State_Code]],Territory_by_Code[],2)</f>
        <v>Alabama</v>
      </c>
      <c r="C32" t="s">
        <v>24</v>
      </c>
      <c r="D32">
        <v>38462</v>
      </c>
      <c r="E32">
        <v>978.69</v>
      </c>
    </row>
    <row r="33" spans="1:5" x14ac:dyDescent="0.25">
      <c r="A33" t="s">
        <v>1</v>
      </c>
      <c r="B33" t="str">
        <f>VLOOKUP(Counties_by_State_Code[[#This Row],[State_Code]],Territory_by_Code[],2)</f>
        <v>Alabama</v>
      </c>
      <c r="C33" t="s">
        <v>20</v>
      </c>
      <c r="D33">
        <v>37570</v>
      </c>
      <c r="E33">
        <v>1030.46</v>
      </c>
    </row>
    <row r="34" spans="1:5" x14ac:dyDescent="0.25">
      <c r="A34" t="s">
        <v>1</v>
      </c>
      <c r="B34" t="str">
        <f>VLOOKUP(Counties_by_State_Code[[#This Row],[State_Code]],Territory_by_Code[],2)</f>
        <v>Alabama</v>
      </c>
      <c r="C34" t="s">
        <v>27</v>
      </c>
      <c r="D34">
        <v>36757</v>
      </c>
      <c r="E34">
        <v>945.08</v>
      </c>
    </row>
    <row r="35" spans="1:5" x14ac:dyDescent="0.25">
      <c r="A35" t="s">
        <v>1</v>
      </c>
      <c r="B35" t="str">
        <f>VLOOKUP(Counties_by_State_Code[[#This Row],[State_Code]],Territory_by_Code[],2)</f>
        <v>Alabama</v>
      </c>
      <c r="C35" t="s">
        <v>9</v>
      </c>
      <c r="D35">
        <v>34772</v>
      </c>
      <c r="E35">
        <v>596.53</v>
      </c>
    </row>
    <row r="36" spans="1:5" x14ac:dyDescent="0.25">
      <c r="A36" t="s">
        <v>1</v>
      </c>
      <c r="B36" t="str">
        <f>VLOOKUP(Counties_by_State_Code[[#This Row],[State_Code]],Territory_by_Code[],2)</f>
        <v>Alabama</v>
      </c>
      <c r="C36" t="s">
        <v>40</v>
      </c>
      <c r="D36">
        <v>33073</v>
      </c>
      <c r="E36">
        <v>690.68</v>
      </c>
    </row>
    <row r="37" spans="1:5" x14ac:dyDescent="0.25">
      <c r="A37" t="s">
        <v>1</v>
      </c>
      <c r="B37" t="str">
        <f>VLOOKUP(Counties_by_State_Code[[#This Row],[State_Code]],Territory_by_Code[],2)</f>
        <v>Alabama</v>
      </c>
      <c r="C37" t="s">
        <v>55</v>
      </c>
      <c r="D37">
        <v>33009</v>
      </c>
      <c r="E37">
        <v>672.09</v>
      </c>
    </row>
    <row r="38" spans="1:5" x14ac:dyDescent="0.25">
      <c r="A38" t="s">
        <v>1</v>
      </c>
      <c r="B38" t="str">
        <f>VLOOKUP(Counties_by_State_Code[[#This Row],[State_Code]],Territory_by_Code[],2)</f>
        <v>Alabama</v>
      </c>
      <c r="C38" t="s">
        <v>30</v>
      </c>
      <c r="D38">
        <v>32113</v>
      </c>
      <c r="E38">
        <v>633.82000000000005</v>
      </c>
    </row>
    <row r="39" spans="1:5" x14ac:dyDescent="0.25">
      <c r="A39" t="s">
        <v>1</v>
      </c>
      <c r="B39" t="str">
        <f>VLOOKUP(Counties_by_State_Code[[#This Row],[State_Code]],Territory_by_Code[],2)</f>
        <v>Alabama</v>
      </c>
      <c r="C39" t="s">
        <v>47</v>
      </c>
      <c r="D39">
        <v>29341</v>
      </c>
      <c r="E39">
        <v>742.29</v>
      </c>
    </row>
    <row r="40" spans="1:5" x14ac:dyDescent="0.25">
      <c r="A40" t="s">
        <v>1</v>
      </c>
      <c r="B40" t="str">
        <f>VLOOKUP(Counties_by_State_Code[[#This Row],[State_Code]],Territory_by_Code[],2)</f>
        <v>Alabama</v>
      </c>
      <c r="C40" t="s">
        <v>31</v>
      </c>
      <c r="D40">
        <v>26659</v>
      </c>
      <c r="E40">
        <v>574.41</v>
      </c>
    </row>
    <row r="41" spans="1:5" x14ac:dyDescent="0.25">
      <c r="A41" t="s">
        <v>1</v>
      </c>
      <c r="B41" t="str">
        <f>VLOOKUP(Counties_by_State_Code[[#This Row],[State_Code]],Territory_by_Code[],2)</f>
        <v>Alabama</v>
      </c>
      <c r="C41" t="s">
        <v>3</v>
      </c>
      <c r="D41">
        <v>25223</v>
      </c>
      <c r="E41">
        <v>884.88</v>
      </c>
    </row>
    <row r="42" spans="1:5" x14ac:dyDescent="0.25">
      <c r="A42" t="s">
        <v>1</v>
      </c>
      <c r="B42" t="str">
        <f>VLOOKUP(Counties_by_State_Code[[#This Row],[State_Code]],Territory_by_Code[],2)</f>
        <v>Alabama</v>
      </c>
      <c r="C42" t="s">
        <v>10</v>
      </c>
      <c r="D42">
        <v>24971</v>
      </c>
      <c r="E42">
        <v>553.70000000000005</v>
      </c>
    </row>
    <row r="43" spans="1:5" x14ac:dyDescent="0.25">
      <c r="A43" t="s">
        <v>1</v>
      </c>
      <c r="B43" t="str">
        <f>VLOOKUP(Counties_by_State_Code[[#This Row],[State_Code]],Territory_by_Code[],2)</f>
        <v>Alabama</v>
      </c>
      <c r="C43" t="s">
        <v>67</v>
      </c>
      <c r="D43">
        <v>23540</v>
      </c>
      <c r="E43">
        <v>612.98</v>
      </c>
    </row>
    <row r="44" spans="1:5" x14ac:dyDescent="0.25">
      <c r="A44" t="s">
        <v>1</v>
      </c>
      <c r="B44" t="str">
        <f>VLOOKUP(Counties_by_State_Code[[#This Row],[State_Code]],Territory_by_Code[],2)</f>
        <v>Alabama</v>
      </c>
      <c r="C44" t="s">
        <v>13</v>
      </c>
      <c r="D44">
        <v>23087</v>
      </c>
      <c r="E44">
        <v>1238.46</v>
      </c>
    </row>
    <row r="45" spans="1:5" x14ac:dyDescent="0.25">
      <c r="A45" t="s">
        <v>1</v>
      </c>
      <c r="B45" t="str">
        <f>VLOOKUP(Counties_by_State_Code[[#This Row],[State_Code]],Territory_by_Code[],2)</f>
        <v>Alabama</v>
      </c>
      <c r="C45" t="s">
        <v>4</v>
      </c>
      <c r="D45">
        <v>22293</v>
      </c>
      <c r="E45">
        <v>622.58000000000004</v>
      </c>
    </row>
    <row r="46" spans="1:5" x14ac:dyDescent="0.25">
      <c r="A46" t="s">
        <v>1</v>
      </c>
      <c r="B46" t="str">
        <f>VLOOKUP(Counties_by_State_Code[[#This Row],[State_Code]],Territory_by_Code[],2)</f>
        <v>Alabama</v>
      </c>
      <c r="C46" t="s">
        <v>56</v>
      </c>
      <c r="D46">
        <v>21967</v>
      </c>
      <c r="E46">
        <v>580.54999999999995</v>
      </c>
    </row>
    <row r="47" spans="1:5" x14ac:dyDescent="0.25">
      <c r="A47" t="s">
        <v>1</v>
      </c>
      <c r="B47" t="str">
        <f>VLOOKUP(Counties_by_State_Code[[#This Row],[State_Code]],Territory_by_Code[],2)</f>
        <v>Alabama</v>
      </c>
      <c r="C47" t="s">
        <v>50</v>
      </c>
      <c r="D47">
        <v>19772</v>
      </c>
      <c r="E47">
        <v>1025.67</v>
      </c>
    </row>
    <row r="48" spans="1:5" x14ac:dyDescent="0.25">
      <c r="A48" t="s">
        <v>1</v>
      </c>
      <c r="B48" t="str">
        <f>VLOOKUP(Counties_by_State_Code[[#This Row],[State_Code]],Territory_by_Code[],2)</f>
        <v>Alabama</v>
      </c>
      <c r="C48" t="s">
        <v>44</v>
      </c>
      <c r="D48">
        <v>19532</v>
      </c>
      <c r="E48">
        <v>608.89</v>
      </c>
    </row>
    <row r="49" spans="1:5" x14ac:dyDescent="0.25">
      <c r="A49" t="s">
        <v>1</v>
      </c>
      <c r="B49" t="str">
        <f>VLOOKUP(Counties_by_State_Code[[#This Row],[State_Code]],Territory_by_Code[],2)</f>
        <v>Alabama</v>
      </c>
      <c r="C49" t="s">
        <v>46</v>
      </c>
      <c r="D49">
        <v>19323</v>
      </c>
      <c r="E49">
        <v>976.88</v>
      </c>
    </row>
    <row r="50" spans="1:5" x14ac:dyDescent="0.25">
      <c r="A50" t="s">
        <v>1</v>
      </c>
      <c r="B50" t="str">
        <f>VLOOKUP(Counties_by_State_Code[[#This Row],[State_Code]],Territory_by_Code[],2)</f>
        <v>Alabama</v>
      </c>
      <c r="C50" t="s">
        <v>54</v>
      </c>
      <c r="D50">
        <v>19123</v>
      </c>
      <c r="E50">
        <v>881.41</v>
      </c>
    </row>
    <row r="51" spans="1:5" x14ac:dyDescent="0.25">
      <c r="A51" t="s">
        <v>1</v>
      </c>
      <c r="B51" t="str">
        <f>VLOOKUP(Counties_by_State_Code[[#This Row],[State_Code]],Territory_by_Code[],2)</f>
        <v>Alabama</v>
      </c>
      <c r="C51" t="s">
        <v>7</v>
      </c>
      <c r="D51">
        <v>19051</v>
      </c>
      <c r="E51">
        <v>776.83</v>
      </c>
    </row>
    <row r="52" spans="1:5" x14ac:dyDescent="0.25">
      <c r="A52" t="s">
        <v>1</v>
      </c>
      <c r="B52" t="str">
        <f>VLOOKUP(Counties_by_State_Code[[#This Row],[State_Code]],Territory_by_Code[],2)</f>
        <v>Alabama</v>
      </c>
      <c r="C52" t="s">
        <v>34</v>
      </c>
      <c r="D52">
        <v>17146</v>
      </c>
      <c r="E52">
        <v>561.75</v>
      </c>
    </row>
    <row r="53" spans="1:5" x14ac:dyDescent="0.25">
      <c r="A53" t="s">
        <v>1</v>
      </c>
      <c r="B53" t="str">
        <f>VLOOKUP(Counties_by_State_Code[[#This Row],[State_Code]],Territory_by_Code[],2)</f>
        <v>Alabama</v>
      </c>
      <c r="C53" t="s">
        <v>29</v>
      </c>
      <c r="D53">
        <v>16321</v>
      </c>
      <c r="E53">
        <v>627.66</v>
      </c>
    </row>
    <row r="54" spans="1:5" x14ac:dyDescent="0.25">
      <c r="A54" t="s">
        <v>1</v>
      </c>
      <c r="B54" t="str">
        <f>VLOOKUP(Counties_by_State_Code[[#This Row],[State_Code]],Territory_by_Code[],2)</f>
        <v>Alabama</v>
      </c>
      <c r="C54" t="s">
        <v>65</v>
      </c>
      <c r="D54">
        <v>15388</v>
      </c>
      <c r="E54">
        <v>1080.21</v>
      </c>
    </row>
    <row r="55" spans="1:5" x14ac:dyDescent="0.25">
      <c r="A55" t="s">
        <v>1</v>
      </c>
      <c r="B55" t="str">
        <f>VLOOKUP(Counties_by_State_Code[[#This Row],[State_Code]],Territory_by_Code[],2)</f>
        <v>Alabama</v>
      </c>
      <c r="C55" t="s">
        <v>15</v>
      </c>
      <c r="D55">
        <v>15056</v>
      </c>
      <c r="E55">
        <v>560.1</v>
      </c>
    </row>
    <row r="56" spans="1:5" x14ac:dyDescent="0.25">
      <c r="A56" t="s">
        <v>1</v>
      </c>
      <c r="B56" t="str">
        <f>VLOOKUP(Counties_by_State_Code[[#This Row],[State_Code]],Territory_by_Code[],2)</f>
        <v>Alabama</v>
      </c>
      <c r="C56" t="s">
        <v>33</v>
      </c>
      <c r="D56">
        <v>14785</v>
      </c>
      <c r="E56">
        <v>643.94000000000005</v>
      </c>
    </row>
    <row r="57" spans="1:5" x14ac:dyDescent="0.25">
      <c r="A57" t="s">
        <v>1</v>
      </c>
      <c r="B57" t="str">
        <f>VLOOKUP(Counties_by_State_Code[[#This Row],[State_Code]],Territory_by_Code[],2)</f>
        <v>Alabama</v>
      </c>
      <c r="C57" t="s">
        <v>14</v>
      </c>
      <c r="D57">
        <v>14236</v>
      </c>
      <c r="E57">
        <v>603.96</v>
      </c>
    </row>
    <row r="58" spans="1:5" x14ac:dyDescent="0.25">
      <c r="A58" t="s">
        <v>1</v>
      </c>
      <c r="B58" t="str">
        <f>VLOOKUP(Counties_by_State_Code[[#This Row],[State_Code]],Territory_by_Code[],2)</f>
        <v>Alabama</v>
      </c>
      <c r="C58" t="s">
        <v>38</v>
      </c>
      <c r="D58">
        <v>13972</v>
      </c>
      <c r="E58">
        <v>604.85</v>
      </c>
    </row>
    <row r="59" spans="1:5" x14ac:dyDescent="0.25">
      <c r="A59" t="s">
        <v>1</v>
      </c>
      <c r="B59" t="str">
        <f>VLOOKUP(Counties_by_State_Code[[#This Row],[State_Code]],Territory_by_Code[],2)</f>
        <v>Alabama</v>
      </c>
      <c r="C59" t="s">
        <v>21</v>
      </c>
      <c r="D59">
        <v>13194</v>
      </c>
      <c r="E59">
        <v>608.84</v>
      </c>
    </row>
    <row r="60" spans="1:5" x14ac:dyDescent="0.25">
      <c r="A60" t="s">
        <v>1</v>
      </c>
      <c r="B60" t="str">
        <f>VLOOKUP(Counties_by_State_Code[[#This Row],[State_Code]],Territory_by_Code[],2)</f>
        <v>Alabama</v>
      </c>
      <c r="C60" t="s">
        <v>12</v>
      </c>
      <c r="D60">
        <v>12665</v>
      </c>
      <c r="E60">
        <v>913.5</v>
      </c>
    </row>
    <row r="61" spans="1:5" x14ac:dyDescent="0.25">
      <c r="A61" t="s">
        <v>1</v>
      </c>
      <c r="B61" t="str">
        <f>VLOOKUP(Counties_by_State_Code[[#This Row],[State_Code]],Territory_by_Code[],2)</f>
        <v>Alabama</v>
      </c>
      <c r="C61" t="s">
        <v>60</v>
      </c>
      <c r="D61">
        <v>12345</v>
      </c>
      <c r="E61">
        <v>903.89</v>
      </c>
    </row>
    <row r="62" spans="1:5" x14ac:dyDescent="0.25">
      <c r="A62" t="s">
        <v>1</v>
      </c>
      <c r="B62" t="str">
        <f>VLOOKUP(Counties_by_State_Code[[#This Row],[State_Code]],Territory_by_Code[],2)</f>
        <v>Alabama</v>
      </c>
      <c r="C62" t="s">
        <v>18</v>
      </c>
      <c r="D62">
        <v>11597</v>
      </c>
      <c r="E62">
        <v>850.16</v>
      </c>
    </row>
    <row r="63" spans="1:5" x14ac:dyDescent="0.25">
      <c r="A63" t="s">
        <v>1</v>
      </c>
      <c r="B63" t="str">
        <f>VLOOKUP(Counties_by_State_Code[[#This Row],[State_Code]],Territory_by_Code[],2)</f>
        <v>Alabama</v>
      </c>
      <c r="C63" t="s">
        <v>66</v>
      </c>
      <c r="D63">
        <v>10600</v>
      </c>
      <c r="E63">
        <v>888.5</v>
      </c>
    </row>
    <row r="64" spans="1:5" x14ac:dyDescent="0.25">
      <c r="A64" t="s">
        <v>1</v>
      </c>
      <c r="B64" t="str">
        <f>VLOOKUP(Counties_by_State_Code[[#This Row],[State_Code]],Territory_by_Code[],2)</f>
        <v>Alabama</v>
      </c>
      <c r="C64" t="s">
        <v>19</v>
      </c>
      <c r="D64">
        <v>10387</v>
      </c>
      <c r="E64">
        <v>650.92999999999995</v>
      </c>
    </row>
    <row r="65" spans="1:5" x14ac:dyDescent="0.25">
      <c r="A65" t="s">
        <v>1</v>
      </c>
      <c r="B65" t="str">
        <f>VLOOKUP(Counties_by_State_Code[[#This Row],[State_Code]],Territory_by_Code[],2)</f>
        <v>Alabama</v>
      </c>
      <c r="C65" t="s">
        <v>6</v>
      </c>
      <c r="D65">
        <v>10357</v>
      </c>
      <c r="E65">
        <v>622.79999999999995</v>
      </c>
    </row>
    <row r="66" spans="1:5" x14ac:dyDescent="0.25">
      <c r="A66" t="s">
        <v>1</v>
      </c>
      <c r="B66" t="str">
        <f>VLOOKUP(Counties_by_State_Code[[#This Row],[State_Code]],Territory_by_Code[],2)</f>
        <v>Alabama</v>
      </c>
      <c r="C66" t="s">
        <v>43</v>
      </c>
      <c r="D66">
        <v>10311</v>
      </c>
      <c r="E66">
        <v>715.91</v>
      </c>
    </row>
    <row r="67" spans="1:5" x14ac:dyDescent="0.25">
      <c r="A67" t="s">
        <v>1</v>
      </c>
      <c r="B67" t="str">
        <f>VLOOKUP(Counties_by_State_Code[[#This Row],[State_Code]],Territory_by_Code[],2)</f>
        <v>Alabama</v>
      </c>
      <c r="C67" t="s">
        <v>53</v>
      </c>
      <c r="D67">
        <v>8511</v>
      </c>
      <c r="E67">
        <v>719.66</v>
      </c>
    </row>
    <row r="68" spans="1:5" x14ac:dyDescent="0.25">
      <c r="A68" t="s">
        <v>1</v>
      </c>
      <c r="B68" t="str">
        <f>VLOOKUP(Counties_by_State_Code[[#This Row],[State_Code]],Territory_by_Code[],2)</f>
        <v>Alabama</v>
      </c>
      <c r="C68" t="s">
        <v>32</v>
      </c>
      <c r="D68">
        <v>7730</v>
      </c>
      <c r="E68">
        <v>647.11</v>
      </c>
    </row>
    <row r="69" spans="1:5" x14ac:dyDescent="0.25">
      <c r="A69" t="s">
        <v>69</v>
      </c>
      <c r="B69" t="str">
        <f>VLOOKUP(Counties_by_State_Code[[#This Row],[State_Code]],Territory_by_Code[],2)</f>
        <v>Alaska</v>
      </c>
      <c r="C69" t="s">
        <v>68</v>
      </c>
      <c r="D69">
        <v>3420</v>
      </c>
      <c r="E69">
        <v>6985</v>
      </c>
    </row>
    <row r="70" spans="1:5" x14ac:dyDescent="0.25">
      <c r="A70" t="s">
        <v>69</v>
      </c>
      <c r="B70" t="str">
        <f>VLOOKUP(Counties_by_State_Code[[#This Row],[State_Code]],Territory_by_Code[],2)</f>
        <v>Alaska</v>
      </c>
      <c r="C70" t="s">
        <v>70</v>
      </c>
      <c r="D70">
        <v>5232</v>
      </c>
      <c r="E70">
        <v>4393</v>
      </c>
    </row>
    <row r="71" spans="1:5" x14ac:dyDescent="0.25">
      <c r="A71" t="s">
        <v>69</v>
      </c>
      <c r="B71" t="str">
        <f>VLOOKUP(Counties_by_State_Code[[#This Row],[State_Code]],Territory_by_Code[],2)</f>
        <v>Alaska</v>
      </c>
      <c r="C71" t="s">
        <v>71</v>
      </c>
      <c r="D71">
        <v>291247</v>
      </c>
      <c r="E71">
        <v>1707</v>
      </c>
    </row>
    <row r="72" spans="1:5" x14ac:dyDescent="0.25">
      <c r="A72" t="s">
        <v>69</v>
      </c>
      <c r="B72" t="str">
        <f>VLOOKUP(Counties_by_State_Code[[#This Row],[State_Code]],Territory_by_Code[],2)</f>
        <v>Alaska</v>
      </c>
      <c r="C72" t="s">
        <v>72</v>
      </c>
      <c r="D72">
        <v>18666</v>
      </c>
      <c r="E72">
        <v>40627</v>
      </c>
    </row>
    <row r="73" spans="1:5" x14ac:dyDescent="0.25">
      <c r="A73" t="s">
        <v>69</v>
      </c>
      <c r="B73" t="str">
        <f>VLOOKUP(Counties_by_State_Code[[#This Row],[State_Code]],Territory_by_Code[],2)</f>
        <v>Alaska</v>
      </c>
      <c r="C73" t="s">
        <v>73</v>
      </c>
      <c r="D73">
        <v>844</v>
      </c>
      <c r="E73">
        <v>482</v>
      </c>
    </row>
    <row r="74" spans="1:5" x14ac:dyDescent="0.25">
      <c r="A74" t="s">
        <v>69</v>
      </c>
      <c r="B74" t="str">
        <f>VLOOKUP(Counties_by_State_Code[[#This Row],[State_Code]],Territory_by_Code[],2)</f>
        <v>Alaska</v>
      </c>
      <c r="C74" t="s">
        <v>74</v>
      </c>
      <c r="D74">
        <v>7102</v>
      </c>
      <c r="E74">
        <v>9530</v>
      </c>
    </row>
    <row r="75" spans="1:5" x14ac:dyDescent="0.25">
      <c r="A75" t="s">
        <v>69</v>
      </c>
      <c r="B75" t="str">
        <f>VLOOKUP(Counties_by_State_Code[[#This Row],[State_Code]],Territory_by_Code[],2)</f>
        <v>Alaska</v>
      </c>
      <c r="C75" t="s">
        <v>75</v>
      </c>
      <c r="D75">
        <v>2617</v>
      </c>
      <c r="E75">
        <v>24692</v>
      </c>
    </row>
    <row r="76" spans="1:5" x14ac:dyDescent="0.25">
      <c r="A76" t="s">
        <v>69</v>
      </c>
      <c r="B76" t="str">
        <f>VLOOKUP(Counties_by_State_Code[[#This Row],[State_Code]],Territory_by_Code[],2)</f>
        <v>Alaska</v>
      </c>
      <c r="C76" t="s">
        <v>76</v>
      </c>
      <c r="D76">
        <v>1619</v>
      </c>
      <c r="E76">
        <v>12641</v>
      </c>
    </row>
    <row r="77" spans="1:5" x14ac:dyDescent="0.25">
      <c r="A77" t="s">
        <v>69</v>
      </c>
      <c r="B77" t="str">
        <f>VLOOKUP(Counties_by_State_Code[[#This Row],[State_Code]],Territory_by_Code[],2)</f>
        <v>Alaska</v>
      </c>
      <c r="C77" t="s">
        <v>77</v>
      </c>
      <c r="D77">
        <v>4857</v>
      </c>
      <c r="E77">
        <v>18334</v>
      </c>
    </row>
    <row r="78" spans="1:5" x14ac:dyDescent="0.25">
      <c r="A78" t="s">
        <v>69</v>
      </c>
      <c r="B78" t="str">
        <f>VLOOKUP(Counties_by_State_Code[[#This Row],[State_Code]],Territory_by_Code[],2)</f>
        <v>Alaska</v>
      </c>
      <c r="C78" t="s">
        <v>78</v>
      </c>
      <c r="D78">
        <v>95655</v>
      </c>
      <c r="E78">
        <v>7335</v>
      </c>
    </row>
    <row r="79" spans="1:5" x14ac:dyDescent="0.25">
      <c r="A79" t="s">
        <v>69</v>
      </c>
      <c r="B79" t="str">
        <f>VLOOKUP(Counties_by_State_Code[[#This Row],[State_Code]],Territory_by_Code[],2)</f>
        <v>Alaska</v>
      </c>
      <c r="C79" t="s">
        <v>79</v>
      </c>
      <c r="D79">
        <v>2080</v>
      </c>
      <c r="E79">
        <v>2343</v>
      </c>
    </row>
    <row r="80" spans="1:5" x14ac:dyDescent="0.25">
      <c r="A80" t="s">
        <v>69</v>
      </c>
      <c r="B80" t="str">
        <f>VLOOKUP(Counties_by_State_Code[[#This Row],[State_Code]],Territory_by_Code[],2)</f>
        <v>Alaska</v>
      </c>
      <c r="C80" t="s">
        <v>80</v>
      </c>
      <c r="D80">
        <v>2365</v>
      </c>
      <c r="E80">
        <v>6555</v>
      </c>
    </row>
    <row r="81" spans="1:5" x14ac:dyDescent="0.25">
      <c r="A81" t="s">
        <v>69</v>
      </c>
      <c r="B81" t="str">
        <f>VLOOKUP(Counties_by_State_Code[[#This Row],[State_Code]],Territory_by_Code[],2)</f>
        <v>Alaska</v>
      </c>
      <c r="C81" t="s">
        <v>81</v>
      </c>
      <c r="D81">
        <v>32255</v>
      </c>
      <c r="E81">
        <v>2704</v>
      </c>
    </row>
    <row r="82" spans="1:5" x14ac:dyDescent="0.25">
      <c r="A82" t="s">
        <v>69</v>
      </c>
      <c r="B82" t="str">
        <f>VLOOKUP(Counties_by_State_Code[[#This Row],[State_Code]],Territory_by_Code[],2)</f>
        <v>Alaska</v>
      </c>
      <c r="C82" t="s">
        <v>82</v>
      </c>
      <c r="D82">
        <v>58799</v>
      </c>
      <c r="E82">
        <v>16017</v>
      </c>
    </row>
    <row r="83" spans="1:5" x14ac:dyDescent="0.25">
      <c r="A83" t="s">
        <v>69</v>
      </c>
      <c r="B83" t="str">
        <f>VLOOKUP(Counties_by_State_Code[[#This Row],[State_Code]],Territory_by_Code[],2)</f>
        <v>Alaska</v>
      </c>
      <c r="C83" t="s">
        <v>83</v>
      </c>
      <c r="D83">
        <v>13948</v>
      </c>
      <c r="E83">
        <v>4857</v>
      </c>
    </row>
    <row r="84" spans="1:5" x14ac:dyDescent="0.25">
      <c r="A84" t="s">
        <v>69</v>
      </c>
      <c r="B84" t="str">
        <f>VLOOKUP(Counties_by_State_Code[[#This Row],[State_Code]],Territory_by_Code[],2)</f>
        <v>Alaska</v>
      </c>
      <c r="C84" t="s">
        <v>84</v>
      </c>
      <c r="D84">
        <v>13101</v>
      </c>
      <c r="E84">
        <v>6689</v>
      </c>
    </row>
    <row r="85" spans="1:5" x14ac:dyDescent="0.25">
      <c r="A85" t="s">
        <v>69</v>
      </c>
      <c r="B85" t="str">
        <f>VLOOKUP(Counties_by_State_Code[[#This Row],[State_Code]],Territory_by_Code[],2)</f>
        <v>Alaska</v>
      </c>
      <c r="C85" t="s">
        <v>85</v>
      </c>
      <c r="D85">
        <v>8368</v>
      </c>
      <c r="E85">
        <v>17077</v>
      </c>
    </row>
    <row r="86" spans="1:5" x14ac:dyDescent="0.25">
      <c r="A86" t="s">
        <v>69</v>
      </c>
      <c r="B86" t="str">
        <f>VLOOKUP(Counties_by_State_Code[[#This Row],[State_Code]],Territory_by_Code[],2)</f>
        <v>Alaska</v>
      </c>
      <c r="C86" t="s">
        <v>86</v>
      </c>
      <c r="D86">
        <v>1476</v>
      </c>
      <c r="E86">
        <v>23832</v>
      </c>
    </row>
    <row r="87" spans="1:5" x14ac:dyDescent="0.25">
      <c r="A87" t="s">
        <v>69</v>
      </c>
      <c r="B87" t="str">
        <f>VLOOKUP(Counties_by_State_Code[[#This Row],[State_Code]],Territory_by_Code[],2)</f>
        <v>Alaska</v>
      </c>
      <c r="C87" t="s">
        <v>87</v>
      </c>
      <c r="D87">
        <v>107081</v>
      </c>
      <c r="E87">
        <v>24707</v>
      </c>
    </row>
    <row r="88" spans="1:5" x14ac:dyDescent="0.25">
      <c r="A88" t="s">
        <v>69</v>
      </c>
      <c r="B88" t="str">
        <f>VLOOKUP(Counties_by_State_Code[[#This Row],[State_Code]],Territory_by_Code[],2)</f>
        <v>Alaska</v>
      </c>
      <c r="C88" t="s">
        <v>88</v>
      </c>
      <c r="D88">
        <v>10046</v>
      </c>
      <c r="E88">
        <v>22969</v>
      </c>
    </row>
    <row r="89" spans="1:5" x14ac:dyDescent="0.25">
      <c r="A89" t="s">
        <v>69</v>
      </c>
      <c r="B89" t="str">
        <f>VLOOKUP(Counties_by_State_Code[[#This Row],[State_Code]],Territory_by_Code[],2)</f>
        <v>Alaska</v>
      </c>
      <c r="C89" t="s">
        <v>89</v>
      </c>
      <c r="D89">
        <v>11031</v>
      </c>
      <c r="E89">
        <v>88824</v>
      </c>
    </row>
    <row r="90" spans="1:5" x14ac:dyDescent="0.25">
      <c r="A90" t="s">
        <v>69</v>
      </c>
      <c r="B90" t="str">
        <f>VLOOKUP(Counties_by_State_Code[[#This Row],[State_Code]],Territory_by_Code[],2)</f>
        <v>Alaska</v>
      </c>
      <c r="C90" t="s">
        <v>90</v>
      </c>
      <c r="D90">
        <v>7793</v>
      </c>
      <c r="E90">
        <v>35663</v>
      </c>
    </row>
    <row r="91" spans="1:5" x14ac:dyDescent="0.25">
      <c r="A91" t="s">
        <v>69</v>
      </c>
      <c r="B91" t="str">
        <f>VLOOKUP(Counties_by_State_Code[[#This Row],[State_Code]],Territory_by_Code[],2)</f>
        <v>Alaska</v>
      </c>
      <c r="C91" t="s">
        <v>91</v>
      </c>
      <c r="D91">
        <v>3398</v>
      </c>
      <c r="E91">
        <v>2901</v>
      </c>
    </row>
    <row r="92" spans="1:5" x14ac:dyDescent="0.25">
      <c r="A92" t="s">
        <v>69</v>
      </c>
      <c r="B92" t="str">
        <f>VLOOKUP(Counties_by_State_Code[[#This Row],[State_Code]],Territory_by_Code[],2)</f>
        <v>Alaska</v>
      </c>
      <c r="C92" t="s">
        <v>92</v>
      </c>
      <c r="D92">
        <v>5753</v>
      </c>
      <c r="E92">
        <v>5268</v>
      </c>
    </row>
    <row r="93" spans="1:5" x14ac:dyDescent="0.25">
      <c r="A93" t="s">
        <v>69</v>
      </c>
      <c r="B93" t="str">
        <f>VLOOKUP(Counties_by_State_Code[[#This Row],[State_Code]],Territory_by_Code[],2)</f>
        <v>Alaska</v>
      </c>
      <c r="C93" t="s">
        <v>93</v>
      </c>
      <c r="D93">
        <v>8458</v>
      </c>
      <c r="E93">
        <v>2870</v>
      </c>
    </row>
    <row r="94" spans="1:5" x14ac:dyDescent="0.25">
      <c r="A94" t="s">
        <v>69</v>
      </c>
      <c r="B94" t="str">
        <f>VLOOKUP(Counties_by_State_Code[[#This Row],[State_Code]],Territory_by_Code[],2)</f>
        <v>Alaska</v>
      </c>
      <c r="C94" t="s">
        <v>94</v>
      </c>
      <c r="D94">
        <v>1240</v>
      </c>
      <c r="E94">
        <v>434</v>
      </c>
    </row>
    <row r="95" spans="1:5" x14ac:dyDescent="0.25">
      <c r="A95" t="s">
        <v>69</v>
      </c>
      <c r="B95" t="str">
        <f>VLOOKUP(Counties_by_State_Code[[#This Row],[State_Code]],Territory_by_Code[],2)</f>
        <v>Alaska</v>
      </c>
      <c r="C95" t="s">
        <v>95</v>
      </c>
      <c r="D95">
        <v>6808</v>
      </c>
      <c r="E95">
        <v>24831</v>
      </c>
    </row>
    <row r="96" spans="1:5" x14ac:dyDescent="0.25">
      <c r="A96" t="s">
        <v>69</v>
      </c>
      <c r="B96" t="str">
        <f>VLOOKUP(Counties_by_State_Code[[#This Row],[State_Code]],Territory_by_Code[],2)</f>
        <v>Alaska</v>
      </c>
      <c r="C96" t="s">
        <v>96</v>
      </c>
      <c r="D96">
        <v>2127</v>
      </c>
      <c r="E96">
        <v>2556</v>
      </c>
    </row>
    <row r="97" spans="1:5" x14ac:dyDescent="0.25">
      <c r="A97" t="s">
        <v>69</v>
      </c>
      <c r="B97" t="str">
        <f>VLOOKUP(Counties_by_State_Code[[#This Row],[State_Code]],Territory_by_Code[],2)</f>
        <v>Alaska</v>
      </c>
      <c r="C97" t="s">
        <v>97</v>
      </c>
      <c r="D97">
        <v>662</v>
      </c>
      <c r="E97">
        <v>7623</v>
      </c>
    </row>
    <row r="98" spans="1:5" x14ac:dyDescent="0.25">
      <c r="A98" t="s">
        <v>69</v>
      </c>
      <c r="B98" t="str">
        <f>VLOOKUP(Counties_by_State_Code[[#This Row],[State_Code]],Territory_by_Code[],2)</f>
        <v>Alaska</v>
      </c>
      <c r="C98" t="s">
        <v>98</v>
      </c>
      <c r="D98">
        <v>5343</v>
      </c>
      <c r="E98">
        <v>145576</v>
      </c>
    </row>
    <row r="99" spans="1:5" x14ac:dyDescent="0.25">
      <c r="A99" t="s">
        <v>100</v>
      </c>
      <c r="B99" t="str">
        <f>VLOOKUP(Counties_by_State_Code[[#This Row],[State_Code]],Territory_by_Code[],2)</f>
        <v>American Samoa</v>
      </c>
      <c r="C99" t="s">
        <v>99</v>
      </c>
      <c r="D99">
        <v>17059</v>
      </c>
      <c r="E99">
        <v>25.69</v>
      </c>
    </row>
    <row r="100" spans="1:5" x14ac:dyDescent="0.25">
      <c r="A100" t="s">
        <v>100</v>
      </c>
      <c r="B100" t="str">
        <f>VLOOKUP(Counties_by_State_Code[[#This Row],[State_Code]],Territory_by_Code[],2)</f>
        <v>American Samoa</v>
      </c>
      <c r="C100" t="s">
        <v>101</v>
      </c>
      <c r="D100">
        <v>832</v>
      </c>
      <c r="E100">
        <v>22.29</v>
      </c>
    </row>
    <row r="101" spans="1:5" x14ac:dyDescent="0.25">
      <c r="A101" t="s">
        <v>100</v>
      </c>
      <c r="B101" t="str">
        <f>VLOOKUP(Counties_by_State_Code[[#This Row],[State_Code]],Territory_by_Code[],2)</f>
        <v>American Samoa</v>
      </c>
      <c r="C101" t="s">
        <v>102</v>
      </c>
      <c r="D101">
        <v>0</v>
      </c>
      <c r="E101">
        <v>0.02</v>
      </c>
    </row>
    <row r="102" spans="1:5" x14ac:dyDescent="0.25">
      <c r="A102" t="s">
        <v>100</v>
      </c>
      <c r="B102" t="str">
        <f>VLOOKUP(Counties_by_State_Code[[#This Row],[State_Code]],Territory_by_Code[],2)</f>
        <v>American Samoa</v>
      </c>
      <c r="C102" t="s">
        <v>103</v>
      </c>
      <c r="D102">
        <v>0</v>
      </c>
      <c r="E102">
        <v>0.94</v>
      </c>
    </row>
    <row r="103" spans="1:5" x14ac:dyDescent="0.25">
      <c r="A103" t="s">
        <v>100</v>
      </c>
      <c r="B103" t="str">
        <f>VLOOKUP(Counties_by_State_Code[[#This Row],[State_Code]],Territory_by_Code[],2)</f>
        <v>American Samoa</v>
      </c>
      <c r="C103" t="s">
        <v>104</v>
      </c>
      <c r="D103">
        <v>31819</v>
      </c>
      <c r="E103">
        <v>27.51</v>
      </c>
    </row>
    <row r="104" spans="1:5" x14ac:dyDescent="0.25">
      <c r="A104" t="s">
        <v>106</v>
      </c>
      <c r="B104" t="str">
        <f>VLOOKUP(Counties_by_State_Code[[#This Row],[State_Code]],Territory_by_Code[],2)</f>
        <v>Arizona</v>
      </c>
      <c r="C104" t="s">
        <v>105</v>
      </c>
      <c r="D104">
        <v>66021</v>
      </c>
      <c r="E104">
        <v>11218</v>
      </c>
    </row>
    <row r="105" spans="1:5" x14ac:dyDescent="0.25">
      <c r="A105" t="s">
        <v>106</v>
      </c>
      <c r="B105" t="str">
        <f>VLOOKUP(Counties_by_State_Code[[#This Row],[State_Code]],Territory_by_Code[],2)</f>
        <v>Arizona</v>
      </c>
      <c r="C105" t="s">
        <v>107</v>
      </c>
      <c r="D105">
        <v>125447</v>
      </c>
      <c r="E105">
        <v>6219</v>
      </c>
    </row>
    <row r="106" spans="1:5" x14ac:dyDescent="0.25">
      <c r="A106" t="s">
        <v>106</v>
      </c>
      <c r="B106" t="str">
        <f>VLOOKUP(Counties_by_State_Code[[#This Row],[State_Code]],Territory_by_Code[],2)</f>
        <v>Arizona</v>
      </c>
      <c r="C106" t="s">
        <v>108</v>
      </c>
      <c r="D106">
        <v>145101</v>
      </c>
      <c r="E106">
        <v>18661</v>
      </c>
    </row>
    <row r="107" spans="1:5" x14ac:dyDescent="0.25">
      <c r="A107" t="s">
        <v>106</v>
      </c>
      <c r="B107" t="str">
        <f>VLOOKUP(Counties_by_State_Code[[#This Row],[State_Code]],Territory_by_Code[],2)</f>
        <v>Arizona</v>
      </c>
      <c r="C107" t="s">
        <v>109</v>
      </c>
      <c r="D107">
        <v>53272</v>
      </c>
      <c r="E107">
        <v>4796</v>
      </c>
    </row>
    <row r="108" spans="1:5" x14ac:dyDescent="0.25">
      <c r="A108" t="s">
        <v>106</v>
      </c>
      <c r="B108" t="str">
        <f>VLOOKUP(Counties_by_State_Code[[#This Row],[State_Code]],Territory_by_Code[],2)</f>
        <v>Arizona</v>
      </c>
      <c r="C108" t="s">
        <v>110</v>
      </c>
      <c r="D108">
        <v>38533</v>
      </c>
      <c r="E108">
        <v>4641</v>
      </c>
    </row>
    <row r="109" spans="1:5" x14ac:dyDescent="0.25">
      <c r="A109" t="s">
        <v>106</v>
      </c>
      <c r="B109" t="str">
        <f>VLOOKUP(Counties_by_State_Code[[#This Row],[State_Code]],Territory_by_Code[],2)</f>
        <v>Arizona</v>
      </c>
      <c r="C109" t="s">
        <v>111</v>
      </c>
      <c r="D109">
        <v>9563</v>
      </c>
      <c r="E109">
        <v>1848</v>
      </c>
    </row>
    <row r="110" spans="1:5" x14ac:dyDescent="0.25">
      <c r="A110" t="s">
        <v>106</v>
      </c>
      <c r="B110" t="str">
        <f>VLOOKUP(Counties_by_State_Code[[#This Row],[State_Code]],Territory_by_Code[],2)</f>
        <v>Arizona</v>
      </c>
      <c r="C110" t="s">
        <v>112</v>
      </c>
      <c r="D110">
        <v>16557</v>
      </c>
      <c r="E110">
        <v>4513</v>
      </c>
    </row>
    <row r="111" spans="1:5" x14ac:dyDescent="0.25">
      <c r="A111" t="s">
        <v>106</v>
      </c>
      <c r="B111" t="str">
        <f>VLOOKUP(Counties_by_State_Code[[#This Row],[State_Code]],Territory_by_Code[],2)</f>
        <v>Arizona</v>
      </c>
      <c r="C111" t="s">
        <v>113</v>
      </c>
      <c r="D111">
        <v>4420568</v>
      </c>
      <c r="E111">
        <v>9224</v>
      </c>
    </row>
    <row r="112" spans="1:5" x14ac:dyDescent="0.25">
      <c r="A112" t="s">
        <v>106</v>
      </c>
      <c r="B112" t="str">
        <f>VLOOKUP(Counties_by_State_Code[[#This Row],[State_Code]],Territory_by_Code[],2)</f>
        <v>Arizona</v>
      </c>
      <c r="C112" t="s">
        <v>114</v>
      </c>
      <c r="D112">
        <v>213267</v>
      </c>
      <c r="E112">
        <v>13470</v>
      </c>
    </row>
    <row r="113" spans="1:5" x14ac:dyDescent="0.25">
      <c r="A113" t="s">
        <v>106</v>
      </c>
      <c r="B113" t="str">
        <f>VLOOKUP(Counties_by_State_Code[[#This Row],[State_Code]],Territory_by_Code[],2)</f>
        <v>Arizona</v>
      </c>
      <c r="C113" t="s">
        <v>115</v>
      </c>
      <c r="D113">
        <v>106717</v>
      </c>
      <c r="E113">
        <v>9959</v>
      </c>
    </row>
    <row r="114" spans="1:5" x14ac:dyDescent="0.25">
      <c r="A114" t="s">
        <v>106</v>
      </c>
      <c r="B114" t="str">
        <f>VLOOKUP(Counties_by_State_Code[[#This Row],[State_Code]],Territory_by_Code[],2)</f>
        <v>Arizona</v>
      </c>
      <c r="C114" t="s">
        <v>116</v>
      </c>
      <c r="D114">
        <v>1043433</v>
      </c>
      <c r="E114">
        <v>9189</v>
      </c>
    </row>
    <row r="115" spans="1:5" x14ac:dyDescent="0.25">
      <c r="A115" t="s">
        <v>106</v>
      </c>
      <c r="B115" t="str">
        <f>VLOOKUP(Counties_by_State_Code[[#This Row],[State_Code]],Territory_by_Code[],2)</f>
        <v>Arizona</v>
      </c>
      <c r="C115" t="s">
        <v>117</v>
      </c>
      <c r="D115">
        <v>425264</v>
      </c>
      <c r="E115">
        <v>5374</v>
      </c>
    </row>
    <row r="116" spans="1:5" x14ac:dyDescent="0.25">
      <c r="A116" t="s">
        <v>106</v>
      </c>
      <c r="B116" t="str">
        <f>VLOOKUP(Counties_by_State_Code[[#This Row],[State_Code]],Territory_by_Code[],2)</f>
        <v>Arizona</v>
      </c>
      <c r="C116" t="s">
        <v>118</v>
      </c>
      <c r="D116">
        <v>47669</v>
      </c>
      <c r="E116">
        <v>1238</v>
      </c>
    </row>
    <row r="117" spans="1:5" x14ac:dyDescent="0.25">
      <c r="A117" t="s">
        <v>106</v>
      </c>
      <c r="B117" t="str">
        <f>VLOOKUP(Counties_by_State_Code[[#This Row],[State_Code]],Territory_by_Code[],2)</f>
        <v>Arizona</v>
      </c>
      <c r="C117" t="s">
        <v>119</v>
      </c>
      <c r="D117">
        <v>236209</v>
      </c>
      <c r="E117">
        <v>8128</v>
      </c>
    </row>
    <row r="118" spans="1:5" x14ac:dyDescent="0.25">
      <c r="A118" t="s">
        <v>106</v>
      </c>
      <c r="B118" t="str">
        <f>VLOOKUP(Counties_by_State_Code[[#This Row],[State_Code]],Territory_by_Code[],2)</f>
        <v>Arizona</v>
      </c>
      <c r="C118" t="s">
        <v>120</v>
      </c>
      <c r="D118">
        <v>203881</v>
      </c>
      <c r="E118">
        <v>5519</v>
      </c>
    </row>
    <row r="119" spans="1:5" x14ac:dyDescent="0.25">
      <c r="A119" t="s">
        <v>122</v>
      </c>
      <c r="B119" t="str">
        <f>VLOOKUP(Counties_by_State_Code[[#This Row],[State_Code]],Territory_by_Code[],2)</f>
        <v>Arkansas</v>
      </c>
      <c r="C119" t="s">
        <v>121</v>
      </c>
      <c r="D119">
        <v>17149</v>
      </c>
      <c r="E119">
        <v>1033.79</v>
      </c>
    </row>
    <row r="120" spans="1:5" x14ac:dyDescent="0.25">
      <c r="A120" t="s">
        <v>122</v>
      </c>
      <c r="B120" t="str">
        <f>VLOOKUP(Counties_by_State_Code[[#This Row],[State_Code]],Territory_by_Code[],2)</f>
        <v>Arkansas</v>
      </c>
      <c r="C120" t="s">
        <v>123</v>
      </c>
      <c r="D120">
        <v>19062</v>
      </c>
      <c r="E120">
        <v>939.08</v>
      </c>
    </row>
    <row r="121" spans="1:5" x14ac:dyDescent="0.25">
      <c r="A121" t="s">
        <v>122</v>
      </c>
      <c r="B121" t="str">
        <f>VLOOKUP(Counties_by_State_Code[[#This Row],[State_Code]],Territory_by_Code[],2)</f>
        <v>Arkansas</v>
      </c>
      <c r="C121" t="s">
        <v>124</v>
      </c>
      <c r="D121">
        <v>41627</v>
      </c>
      <c r="E121">
        <v>586.74</v>
      </c>
    </row>
    <row r="122" spans="1:5" x14ac:dyDescent="0.25">
      <c r="A122" t="s">
        <v>122</v>
      </c>
      <c r="B122" t="str">
        <f>VLOOKUP(Counties_by_State_Code[[#This Row],[State_Code]],Territory_by_Code[],2)</f>
        <v>Arkansas</v>
      </c>
      <c r="C122" t="s">
        <v>125</v>
      </c>
      <c r="D122">
        <v>284333</v>
      </c>
      <c r="E122">
        <v>884.86</v>
      </c>
    </row>
    <row r="123" spans="1:5" x14ac:dyDescent="0.25">
      <c r="A123" t="s">
        <v>122</v>
      </c>
      <c r="B123" t="str">
        <f>VLOOKUP(Counties_by_State_Code[[#This Row],[State_Code]],Territory_by_Code[],2)</f>
        <v>Arkansas</v>
      </c>
      <c r="C123" t="s">
        <v>126</v>
      </c>
      <c r="D123">
        <v>37373</v>
      </c>
      <c r="E123">
        <v>601.82000000000005</v>
      </c>
    </row>
    <row r="124" spans="1:5" x14ac:dyDescent="0.25">
      <c r="A124" t="s">
        <v>122</v>
      </c>
      <c r="B124" t="str">
        <f>VLOOKUP(Counties_by_State_Code[[#This Row],[State_Code]],Territory_by_Code[],2)</f>
        <v>Arkansas</v>
      </c>
      <c r="C124" t="s">
        <v>127</v>
      </c>
      <c r="D124">
        <v>10545</v>
      </c>
      <c r="E124">
        <v>654.38</v>
      </c>
    </row>
    <row r="125" spans="1:5" x14ac:dyDescent="0.25">
      <c r="A125" t="s">
        <v>122</v>
      </c>
      <c r="B125" t="str">
        <f>VLOOKUP(Counties_by_State_Code[[#This Row],[State_Code]],Territory_by_Code[],2)</f>
        <v>Arkansas</v>
      </c>
      <c r="C125" t="s">
        <v>8</v>
      </c>
      <c r="D125">
        <v>4739</v>
      </c>
      <c r="E125">
        <v>632.54</v>
      </c>
    </row>
    <row r="126" spans="1:5" x14ac:dyDescent="0.25">
      <c r="A126" t="s">
        <v>122</v>
      </c>
      <c r="B126" t="str">
        <f>VLOOKUP(Counties_by_State_Code[[#This Row],[State_Code]],Territory_by_Code[],2)</f>
        <v>Arkansas</v>
      </c>
      <c r="C126" t="s">
        <v>128</v>
      </c>
      <c r="D126">
        <v>28260</v>
      </c>
      <c r="E126">
        <v>638.80999999999995</v>
      </c>
    </row>
    <row r="127" spans="1:5" x14ac:dyDescent="0.25">
      <c r="A127" t="s">
        <v>122</v>
      </c>
      <c r="B127" t="str">
        <f>VLOOKUP(Counties_by_State_Code[[#This Row],[State_Code]],Territory_by_Code[],2)</f>
        <v>Arkansas</v>
      </c>
      <c r="C127" t="s">
        <v>129</v>
      </c>
      <c r="D127">
        <v>10208</v>
      </c>
      <c r="E127">
        <v>690.88</v>
      </c>
    </row>
    <row r="128" spans="1:5" x14ac:dyDescent="0.25">
      <c r="A128" t="s">
        <v>122</v>
      </c>
      <c r="B128" t="str">
        <f>VLOOKUP(Counties_by_State_Code[[#This Row],[State_Code]],Territory_by_Code[],2)</f>
        <v>Arkansas</v>
      </c>
      <c r="C128" t="s">
        <v>130</v>
      </c>
      <c r="D128">
        <v>21446</v>
      </c>
      <c r="E128">
        <v>882.6</v>
      </c>
    </row>
    <row r="129" spans="1:5" x14ac:dyDescent="0.25">
      <c r="A129" t="s">
        <v>122</v>
      </c>
      <c r="B129" t="str">
        <f>VLOOKUP(Counties_by_State_Code[[#This Row],[State_Code]],Territory_by_Code[],2)</f>
        <v>Arkansas</v>
      </c>
      <c r="C129" t="s">
        <v>14</v>
      </c>
      <c r="D129">
        <v>14552</v>
      </c>
      <c r="E129">
        <v>641.12</v>
      </c>
    </row>
    <row r="130" spans="1:5" x14ac:dyDescent="0.25">
      <c r="A130" t="s">
        <v>122</v>
      </c>
      <c r="B130" t="str">
        <f>VLOOKUP(Counties_by_State_Code[[#This Row],[State_Code]],Territory_by_Code[],2)</f>
        <v>Arkansas</v>
      </c>
      <c r="C130" t="s">
        <v>15</v>
      </c>
      <c r="D130">
        <v>24711</v>
      </c>
      <c r="E130">
        <v>591.91</v>
      </c>
    </row>
    <row r="131" spans="1:5" x14ac:dyDescent="0.25">
      <c r="A131" t="s">
        <v>122</v>
      </c>
      <c r="B131" t="str">
        <f>VLOOKUP(Counties_by_State_Code[[#This Row],[State_Code]],Territory_by_Code[],2)</f>
        <v>Arkansas</v>
      </c>
      <c r="C131" t="s">
        <v>131</v>
      </c>
      <c r="D131">
        <v>7550</v>
      </c>
      <c r="E131">
        <v>598.79999999999995</v>
      </c>
    </row>
    <row r="132" spans="1:5" x14ac:dyDescent="0.25">
      <c r="A132" t="s">
        <v>122</v>
      </c>
      <c r="B132" t="str">
        <f>VLOOKUP(Counties_by_State_Code[[#This Row],[State_Code]],Territory_by_Code[],2)</f>
        <v>Arkansas</v>
      </c>
      <c r="C132" t="s">
        <v>132</v>
      </c>
      <c r="D132">
        <v>22801</v>
      </c>
      <c r="E132">
        <v>766.86</v>
      </c>
    </row>
    <row r="133" spans="1:5" x14ac:dyDescent="0.25">
      <c r="A133" t="s">
        <v>122</v>
      </c>
      <c r="B133" t="str">
        <f>VLOOKUP(Counties_by_State_Code[[#This Row],[State_Code]],Territory_by_Code[],2)</f>
        <v>Arkansas</v>
      </c>
      <c r="C133" t="s">
        <v>133</v>
      </c>
      <c r="D133">
        <v>20715</v>
      </c>
      <c r="E133">
        <v>566.66</v>
      </c>
    </row>
    <row r="134" spans="1:5" x14ac:dyDescent="0.25">
      <c r="A134" t="s">
        <v>122</v>
      </c>
      <c r="B134" t="str">
        <f>VLOOKUP(Counties_by_State_Code[[#This Row],[State_Code]],Territory_by_Code[],2)</f>
        <v>Arkansas</v>
      </c>
      <c r="C134" t="s">
        <v>134</v>
      </c>
      <c r="D134">
        <v>111231</v>
      </c>
      <c r="E134">
        <v>712.98</v>
      </c>
    </row>
    <row r="135" spans="1:5" x14ac:dyDescent="0.25">
      <c r="A135" t="s">
        <v>122</v>
      </c>
      <c r="B135" t="str">
        <f>VLOOKUP(Counties_by_State_Code[[#This Row],[State_Code]],Territory_by_Code[],2)</f>
        <v>Arkansas</v>
      </c>
      <c r="C135" t="s">
        <v>135</v>
      </c>
      <c r="D135">
        <v>60133</v>
      </c>
      <c r="E135">
        <v>604.20000000000005</v>
      </c>
    </row>
    <row r="136" spans="1:5" x14ac:dyDescent="0.25">
      <c r="A136" t="s">
        <v>122</v>
      </c>
      <c r="B136" t="str">
        <f>VLOOKUP(Counties_by_State_Code[[#This Row],[State_Code]],Territory_by_Code[],2)</f>
        <v>Arkansas</v>
      </c>
      <c r="C136" t="s">
        <v>136</v>
      </c>
      <c r="D136">
        <v>48163</v>
      </c>
      <c r="E136">
        <v>636.74</v>
      </c>
    </row>
    <row r="137" spans="1:5" x14ac:dyDescent="0.25">
      <c r="A137" t="s">
        <v>122</v>
      </c>
      <c r="B137" t="str">
        <f>VLOOKUP(Counties_by_State_Code[[#This Row],[State_Code]],Territory_by_Code[],2)</f>
        <v>Arkansas</v>
      </c>
      <c r="C137" t="s">
        <v>137</v>
      </c>
      <c r="D137">
        <v>16833</v>
      </c>
      <c r="E137">
        <v>622.33000000000004</v>
      </c>
    </row>
    <row r="138" spans="1:5" x14ac:dyDescent="0.25">
      <c r="A138" t="s">
        <v>122</v>
      </c>
      <c r="B138" t="str">
        <f>VLOOKUP(Counties_by_State_Code[[#This Row],[State_Code]],Territory_by_Code[],2)</f>
        <v>Arkansas</v>
      </c>
      <c r="C138" t="s">
        <v>24</v>
      </c>
      <c r="D138">
        <v>6482</v>
      </c>
      <c r="E138">
        <v>668.16</v>
      </c>
    </row>
    <row r="139" spans="1:5" x14ac:dyDescent="0.25">
      <c r="A139" t="s">
        <v>122</v>
      </c>
      <c r="B139" t="str">
        <f>VLOOKUP(Counties_by_State_Code[[#This Row],[State_Code]],Territory_by_Code[],2)</f>
        <v>Arkansas</v>
      </c>
      <c r="C139" t="s">
        <v>138</v>
      </c>
      <c r="D139">
        <v>11395</v>
      </c>
      <c r="E139">
        <v>819.52</v>
      </c>
    </row>
    <row r="140" spans="1:5" x14ac:dyDescent="0.25">
      <c r="A140" t="s">
        <v>122</v>
      </c>
      <c r="B140" t="str">
        <f>VLOOKUP(Counties_by_State_Code[[#This Row],[State_Code]],Territory_by_Code[],2)</f>
        <v>Arkansas</v>
      </c>
      <c r="C140" t="s">
        <v>139</v>
      </c>
      <c r="D140">
        <v>17350</v>
      </c>
      <c r="E140">
        <v>835.65</v>
      </c>
    </row>
    <row r="141" spans="1:5" x14ac:dyDescent="0.25">
      <c r="A141" t="s">
        <v>122</v>
      </c>
      <c r="B141" t="str">
        <f>VLOOKUP(Counties_by_State_Code[[#This Row],[State_Code]],Territory_by_Code[],2)</f>
        <v>Arkansas</v>
      </c>
      <c r="C141" t="s">
        <v>140</v>
      </c>
      <c r="D141">
        <v>123498</v>
      </c>
      <c r="E141">
        <v>664.01</v>
      </c>
    </row>
    <row r="142" spans="1:5" x14ac:dyDescent="0.25">
      <c r="A142" t="s">
        <v>122</v>
      </c>
      <c r="B142" t="str">
        <f>VLOOKUP(Counties_by_State_Code[[#This Row],[State_Code]],Territory_by_Code[],2)</f>
        <v>Arkansas</v>
      </c>
      <c r="C142" t="s">
        <v>30</v>
      </c>
      <c r="D142">
        <v>17097</v>
      </c>
      <c r="E142">
        <v>619.69000000000005</v>
      </c>
    </row>
    <row r="143" spans="1:5" x14ac:dyDescent="0.25">
      <c r="A143" t="s">
        <v>122</v>
      </c>
      <c r="B143" t="str">
        <f>VLOOKUP(Counties_by_State_Code[[#This Row],[State_Code]],Territory_by_Code[],2)</f>
        <v>Arkansas</v>
      </c>
      <c r="C143" t="s">
        <v>141</v>
      </c>
      <c r="D143">
        <v>12075</v>
      </c>
      <c r="E143">
        <v>620.32000000000005</v>
      </c>
    </row>
    <row r="144" spans="1:5" x14ac:dyDescent="0.25">
      <c r="A144" t="s">
        <v>122</v>
      </c>
      <c r="B144" t="str">
        <f>VLOOKUP(Counties_by_State_Code[[#This Row],[State_Code]],Territory_by_Code[],2)</f>
        <v>Arkansas</v>
      </c>
      <c r="C144" t="s">
        <v>142</v>
      </c>
      <c r="D144">
        <v>100180</v>
      </c>
      <c r="E144">
        <v>734.57</v>
      </c>
    </row>
    <row r="145" spans="1:5" x14ac:dyDescent="0.25">
      <c r="A145" t="s">
        <v>122</v>
      </c>
      <c r="B145" t="str">
        <f>VLOOKUP(Counties_by_State_Code[[#This Row],[State_Code]],Territory_by_Code[],2)</f>
        <v>Arkansas</v>
      </c>
      <c r="C145" t="s">
        <v>143</v>
      </c>
      <c r="D145">
        <v>17958</v>
      </c>
      <c r="E145">
        <v>633.01</v>
      </c>
    </row>
    <row r="146" spans="1:5" x14ac:dyDescent="0.25">
      <c r="A146" t="s">
        <v>122</v>
      </c>
      <c r="B146" t="str">
        <f>VLOOKUP(Counties_by_State_Code[[#This Row],[State_Code]],Territory_by_Code[],2)</f>
        <v>Arkansas</v>
      </c>
      <c r="C146" t="s">
        <v>32</v>
      </c>
      <c r="D146">
        <v>45736</v>
      </c>
      <c r="E146">
        <v>579.65</v>
      </c>
    </row>
    <row r="147" spans="1:5" x14ac:dyDescent="0.25">
      <c r="A147" t="s">
        <v>122</v>
      </c>
      <c r="B147" t="str">
        <f>VLOOKUP(Counties_by_State_Code[[#This Row],[State_Code]],Territory_by_Code[],2)</f>
        <v>Arkansas</v>
      </c>
      <c r="C147" t="s">
        <v>144</v>
      </c>
      <c r="D147">
        <v>20065</v>
      </c>
      <c r="E147">
        <v>741.36</v>
      </c>
    </row>
    <row r="148" spans="1:5" x14ac:dyDescent="0.25">
      <c r="A148" t="s">
        <v>122</v>
      </c>
      <c r="B148" t="str">
        <f>VLOOKUP(Counties_by_State_Code[[#This Row],[State_Code]],Territory_by_Code[],2)</f>
        <v>Arkansas</v>
      </c>
      <c r="C148" t="s">
        <v>145</v>
      </c>
      <c r="D148">
        <v>33040</v>
      </c>
      <c r="E148">
        <v>622.16</v>
      </c>
    </row>
    <row r="149" spans="1:5" x14ac:dyDescent="0.25">
      <c r="A149" t="s">
        <v>122</v>
      </c>
      <c r="B149" t="str">
        <f>VLOOKUP(Counties_by_State_Code[[#This Row],[State_Code]],Territory_by_Code[],2)</f>
        <v>Arkansas</v>
      </c>
      <c r="C149" t="s">
        <v>146</v>
      </c>
      <c r="D149">
        <v>12785</v>
      </c>
      <c r="E149">
        <v>595.20000000000005</v>
      </c>
    </row>
    <row r="150" spans="1:5" x14ac:dyDescent="0.25">
      <c r="A150" t="s">
        <v>122</v>
      </c>
      <c r="B150" t="str">
        <f>VLOOKUP(Counties_by_State_Code[[#This Row],[State_Code]],Territory_by_Code[],2)</f>
        <v>Arkansas</v>
      </c>
      <c r="C150" t="s">
        <v>147</v>
      </c>
      <c r="D150">
        <v>37938</v>
      </c>
      <c r="E150">
        <v>771.57</v>
      </c>
    </row>
    <row r="151" spans="1:5" x14ac:dyDescent="0.25">
      <c r="A151" t="s">
        <v>122</v>
      </c>
      <c r="B151" t="str">
        <f>VLOOKUP(Counties_by_State_Code[[#This Row],[State_Code]],Territory_by_Code[],2)</f>
        <v>Arkansas</v>
      </c>
      <c r="C151" t="s">
        <v>148</v>
      </c>
      <c r="D151">
        <v>13577</v>
      </c>
      <c r="E151">
        <v>584.02</v>
      </c>
    </row>
    <row r="152" spans="1:5" x14ac:dyDescent="0.25">
      <c r="A152" t="s">
        <v>122</v>
      </c>
      <c r="B152" t="str">
        <f>VLOOKUP(Counties_by_State_Code[[#This Row],[State_Code]],Territory_by_Code[],2)</f>
        <v>Arkansas</v>
      </c>
      <c r="C152" t="s">
        <v>36</v>
      </c>
      <c r="D152">
        <v>16755</v>
      </c>
      <c r="E152">
        <v>641.45000000000005</v>
      </c>
    </row>
    <row r="153" spans="1:5" x14ac:dyDescent="0.25">
      <c r="A153" t="s">
        <v>122</v>
      </c>
      <c r="B153" t="str">
        <f>VLOOKUP(Counties_by_State_Code[[#This Row],[State_Code]],Territory_by_Code[],2)</f>
        <v>Arkansas</v>
      </c>
      <c r="C153" t="s">
        <v>37</v>
      </c>
      <c r="D153">
        <v>67260</v>
      </c>
      <c r="E153">
        <v>913.7</v>
      </c>
    </row>
    <row r="154" spans="1:5" x14ac:dyDescent="0.25">
      <c r="A154" t="s">
        <v>122</v>
      </c>
      <c r="B154" t="str">
        <f>VLOOKUP(Counties_by_State_Code[[#This Row],[State_Code]],Territory_by_Code[],2)</f>
        <v>Arkansas</v>
      </c>
      <c r="C154" t="s">
        <v>149</v>
      </c>
      <c r="D154">
        <v>25749</v>
      </c>
      <c r="E154">
        <v>682.74</v>
      </c>
    </row>
    <row r="155" spans="1:5" x14ac:dyDescent="0.25">
      <c r="A155" t="s">
        <v>122</v>
      </c>
      <c r="B155" t="str">
        <f>VLOOKUP(Counties_by_State_Code[[#This Row],[State_Code]],Territory_by_Code[],2)</f>
        <v>Arkansas</v>
      </c>
      <c r="C155" t="s">
        <v>150</v>
      </c>
      <c r="D155">
        <v>6308</v>
      </c>
      <c r="E155">
        <v>545.07000000000005</v>
      </c>
    </row>
    <row r="156" spans="1:5" x14ac:dyDescent="0.25">
      <c r="A156" t="s">
        <v>122</v>
      </c>
      <c r="B156" t="str">
        <f>VLOOKUP(Counties_by_State_Code[[#This Row],[State_Code]],Territory_by_Code[],2)</f>
        <v>Arkansas</v>
      </c>
      <c r="C156" t="s">
        <v>40</v>
      </c>
      <c r="D156">
        <v>16216</v>
      </c>
      <c r="E156">
        <v>592.34</v>
      </c>
    </row>
    <row r="157" spans="1:5" x14ac:dyDescent="0.25">
      <c r="A157" t="s">
        <v>122</v>
      </c>
      <c r="B157" t="str">
        <f>VLOOKUP(Counties_by_State_Code[[#This Row],[State_Code]],Territory_by_Code[],2)</f>
        <v>Arkansas</v>
      </c>
      <c r="C157" t="s">
        <v>41</v>
      </c>
      <c r="D157">
        <v>8600</v>
      </c>
      <c r="E157">
        <v>619.47</v>
      </c>
    </row>
    <row r="158" spans="1:5" x14ac:dyDescent="0.25">
      <c r="A158" t="s">
        <v>122</v>
      </c>
      <c r="B158" t="str">
        <f>VLOOKUP(Counties_by_State_Code[[#This Row],[State_Code]],Territory_by_Code[],2)</f>
        <v>Arkansas</v>
      </c>
      <c r="C158" t="s">
        <v>151</v>
      </c>
      <c r="D158">
        <v>12941</v>
      </c>
      <c r="E158">
        <v>572.16999999999996</v>
      </c>
    </row>
    <row r="159" spans="1:5" x14ac:dyDescent="0.25">
      <c r="A159" t="s">
        <v>122</v>
      </c>
      <c r="B159" t="str">
        <f>VLOOKUP(Counties_by_State_Code[[#This Row],[State_Code]],Territory_by_Code[],2)</f>
        <v>Arkansas</v>
      </c>
      <c r="C159" t="s">
        <v>152</v>
      </c>
      <c r="D159">
        <v>12026</v>
      </c>
      <c r="E159">
        <v>564.87</v>
      </c>
    </row>
    <row r="160" spans="1:5" x14ac:dyDescent="0.25">
      <c r="A160" t="s">
        <v>122</v>
      </c>
      <c r="B160" t="str">
        <f>VLOOKUP(Counties_by_State_Code[[#This Row],[State_Code]],Territory_by_Code[],2)</f>
        <v>Arkansas</v>
      </c>
      <c r="C160" t="s">
        <v>153</v>
      </c>
      <c r="D160">
        <v>21131</v>
      </c>
      <c r="E160">
        <v>731.5</v>
      </c>
    </row>
    <row r="161" spans="1:5" x14ac:dyDescent="0.25">
      <c r="A161" t="s">
        <v>122</v>
      </c>
      <c r="B161" t="str">
        <f>VLOOKUP(Counties_by_State_Code[[#This Row],[State_Code]],Territory_by_Code[],2)</f>
        <v>Arkansas</v>
      </c>
      <c r="C161" t="s">
        <v>154</v>
      </c>
      <c r="D161">
        <v>74015</v>
      </c>
      <c r="E161">
        <v>802.43</v>
      </c>
    </row>
    <row r="162" spans="1:5" x14ac:dyDescent="0.25">
      <c r="A162" t="s">
        <v>122</v>
      </c>
      <c r="B162" t="str">
        <f>VLOOKUP(Counties_by_State_Code[[#This Row],[State_Code]],Territory_by_Code[],2)</f>
        <v>Arkansas</v>
      </c>
      <c r="C162" t="s">
        <v>45</v>
      </c>
      <c r="D162">
        <v>16521</v>
      </c>
      <c r="E162">
        <v>837.06</v>
      </c>
    </row>
    <row r="163" spans="1:5" x14ac:dyDescent="0.25">
      <c r="A163" t="s">
        <v>122</v>
      </c>
      <c r="B163" t="str">
        <f>VLOOKUP(Counties_by_State_Code[[#This Row],[State_Code]],Territory_by_Code[],2)</f>
        <v>Arkansas</v>
      </c>
      <c r="C163" t="s">
        <v>47</v>
      </c>
      <c r="D163">
        <v>16826</v>
      </c>
      <c r="E163">
        <v>640.39</v>
      </c>
    </row>
    <row r="164" spans="1:5" x14ac:dyDescent="0.25">
      <c r="A164" t="s">
        <v>122</v>
      </c>
      <c r="B164" t="str">
        <f>VLOOKUP(Counties_by_State_Code[[#This Row],[State_Code]],Territory_by_Code[],2)</f>
        <v>Arkansas</v>
      </c>
      <c r="C164" t="s">
        <v>155</v>
      </c>
      <c r="D164">
        <v>42600</v>
      </c>
      <c r="E164">
        <v>637.48</v>
      </c>
    </row>
    <row r="165" spans="1:5" x14ac:dyDescent="0.25">
      <c r="A165" t="s">
        <v>122</v>
      </c>
      <c r="B165" t="str">
        <f>VLOOKUP(Counties_by_State_Code[[#This Row],[State_Code]],Territory_by_Code[],2)</f>
        <v>Arkansas</v>
      </c>
      <c r="C165" t="s">
        <v>156</v>
      </c>
      <c r="D165">
        <v>40685</v>
      </c>
      <c r="E165">
        <v>919.73</v>
      </c>
    </row>
    <row r="166" spans="1:5" x14ac:dyDescent="0.25">
      <c r="A166" t="s">
        <v>122</v>
      </c>
      <c r="B166" t="str">
        <f>VLOOKUP(Counties_by_State_Code[[#This Row],[State_Code]],Territory_by_Code[],2)</f>
        <v>Arkansas</v>
      </c>
      <c r="C166" t="s">
        <v>50</v>
      </c>
      <c r="D166">
        <v>6799</v>
      </c>
      <c r="E166">
        <v>621.41</v>
      </c>
    </row>
    <row r="167" spans="1:5" x14ac:dyDescent="0.25">
      <c r="A167" t="s">
        <v>122</v>
      </c>
      <c r="B167" t="str">
        <f>VLOOKUP(Counties_by_State_Code[[#This Row],[State_Code]],Territory_by_Code[],2)</f>
        <v>Arkansas</v>
      </c>
      <c r="C167" t="s">
        <v>51</v>
      </c>
      <c r="D167">
        <v>8484</v>
      </c>
      <c r="E167">
        <v>800.29</v>
      </c>
    </row>
    <row r="168" spans="1:5" x14ac:dyDescent="0.25">
      <c r="A168" t="s">
        <v>122</v>
      </c>
      <c r="B168" t="str">
        <f>VLOOKUP(Counties_by_State_Code[[#This Row],[State_Code]],Territory_by_Code[],2)</f>
        <v>Arkansas</v>
      </c>
      <c r="C168" t="s">
        <v>157</v>
      </c>
      <c r="D168">
        <v>8310</v>
      </c>
      <c r="E168">
        <v>620.78</v>
      </c>
    </row>
    <row r="169" spans="1:5" x14ac:dyDescent="0.25">
      <c r="A169" t="s">
        <v>122</v>
      </c>
      <c r="B169" t="str">
        <f>VLOOKUP(Counties_by_State_Code[[#This Row],[State_Code]],Territory_by_Code[],2)</f>
        <v>Arkansas</v>
      </c>
      <c r="C169" t="s">
        <v>158</v>
      </c>
      <c r="D169">
        <v>7225</v>
      </c>
      <c r="E169">
        <v>823.18</v>
      </c>
    </row>
    <row r="170" spans="1:5" x14ac:dyDescent="0.25">
      <c r="A170" t="s">
        <v>122</v>
      </c>
      <c r="B170" t="str">
        <f>VLOOKUP(Counties_by_State_Code[[#This Row],[State_Code]],Territory_by_Code[],2)</f>
        <v>Arkansas</v>
      </c>
      <c r="C170" t="s">
        <v>159</v>
      </c>
      <c r="D170">
        <v>22650</v>
      </c>
      <c r="E170">
        <v>739.63</v>
      </c>
    </row>
    <row r="171" spans="1:5" x14ac:dyDescent="0.25">
      <c r="A171" t="s">
        <v>122</v>
      </c>
      <c r="B171" t="str">
        <f>VLOOKUP(Counties_by_State_Code[[#This Row],[State_Code]],Territory_by_Code[],2)</f>
        <v>Arkansas</v>
      </c>
      <c r="C171" t="s">
        <v>53</v>
      </c>
      <c r="D171">
        <v>10019</v>
      </c>
      <c r="E171">
        <v>560.47</v>
      </c>
    </row>
    <row r="172" spans="1:5" x14ac:dyDescent="0.25">
      <c r="A172" t="s">
        <v>122</v>
      </c>
      <c r="B172" t="str">
        <f>VLOOKUP(Counties_by_State_Code[[#This Row],[State_Code]],Territory_by_Code[],2)</f>
        <v>Arkansas</v>
      </c>
      <c r="C172" t="s">
        <v>160</v>
      </c>
      <c r="D172">
        <v>16568</v>
      </c>
      <c r="E172">
        <v>727.29</v>
      </c>
    </row>
    <row r="173" spans="1:5" x14ac:dyDescent="0.25">
      <c r="A173" t="s">
        <v>122</v>
      </c>
      <c r="B173" t="str">
        <f>VLOOKUP(Counties_by_State_Code[[#This Row],[State_Code]],Territory_by_Code[],2)</f>
        <v>Arkansas</v>
      </c>
      <c r="C173" t="s">
        <v>55</v>
      </c>
      <c r="D173">
        <v>10171</v>
      </c>
      <c r="E173">
        <v>613.88</v>
      </c>
    </row>
    <row r="174" spans="1:5" x14ac:dyDescent="0.25">
      <c r="A174" t="s">
        <v>122</v>
      </c>
      <c r="B174" t="str">
        <f>VLOOKUP(Counties_by_State_Code[[#This Row],[State_Code]],Territory_by_Code[],2)</f>
        <v>Arkansas</v>
      </c>
      <c r="C174" t="s">
        <v>161</v>
      </c>
      <c r="D174">
        <v>22965</v>
      </c>
      <c r="E174">
        <v>763.39</v>
      </c>
    </row>
    <row r="175" spans="1:5" x14ac:dyDescent="0.25">
      <c r="A175" t="s">
        <v>122</v>
      </c>
      <c r="B175" t="str">
        <f>VLOOKUP(Counties_by_State_Code[[#This Row],[State_Code]],Territory_by_Code[],2)</f>
        <v>Arkansas</v>
      </c>
      <c r="C175" t="s">
        <v>162</v>
      </c>
      <c r="D175">
        <v>19221</v>
      </c>
      <c r="E175">
        <v>862.42</v>
      </c>
    </row>
    <row r="176" spans="1:5" x14ac:dyDescent="0.25">
      <c r="A176" t="s">
        <v>122</v>
      </c>
      <c r="B176" t="str">
        <f>VLOOKUP(Counties_by_State_Code[[#This Row],[State_Code]],Territory_by_Code[],2)</f>
        <v>Arkansas</v>
      </c>
      <c r="C176" t="s">
        <v>163</v>
      </c>
      <c r="D176">
        <v>63381</v>
      </c>
      <c r="E176">
        <v>830.79</v>
      </c>
    </row>
    <row r="177" spans="1:5" x14ac:dyDescent="0.25">
      <c r="A177" t="s">
        <v>122</v>
      </c>
      <c r="B177" t="str">
        <f>VLOOKUP(Counties_by_State_Code[[#This Row],[State_Code]],Territory_by_Code[],2)</f>
        <v>Arkansas</v>
      </c>
      <c r="C177" t="s">
        <v>164</v>
      </c>
      <c r="D177">
        <v>8282</v>
      </c>
      <c r="E177">
        <v>675.76</v>
      </c>
    </row>
    <row r="178" spans="1:5" x14ac:dyDescent="0.25">
      <c r="A178" t="s">
        <v>122</v>
      </c>
      <c r="B178" t="str">
        <f>VLOOKUP(Counties_by_State_Code[[#This Row],[State_Code]],Territory_by_Code[],2)</f>
        <v>Arkansas</v>
      </c>
      <c r="C178" t="s">
        <v>165</v>
      </c>
      <c r="D178">
        <v>399125</v>
      </c>
      <c r="E178">
        <v>807.84</v>
      </c>
    </row>
    <row r="179" spans="1:5" x14ac:dyDescent="0.25">
      <c r="A179" t="s">
        <v>122</v>
      </c>
      <c r="B179" t="str">
        <f>VLOOKUP(Counties_by_State_Code[[#This Row],[State_Code]],Territory_by_Code[],2)</f>
        <v>Arkansas</v>
      </c>
      <c r="C179" t="s">
        <v>56</v>
      </c>
      <c r="D179">
        <v>18571</v>
      </c>
      <c r="E179">
        <v>656.04</v>
      </c>
    </row>
    <row r="180" spans="1:5" x14ac:dyDescent="0.25">
      <c r="A180" t="s">
        <v>122</v>
      </c>
      <c r="B180" t="str">
        <f>VLOOKUP(Counties_by_State_Code[[#This Row],[State_Code]],Territory_by_Code[],2)</f>
        <v>Arkansas</v>
      </c>
      <c r="C180" t="s">
        <v>166</v>
      </c>
      <c r="D180">
        <v>23090</v>
      </c>
      <c r="E180">
        <v>642.4</v>
      </c>
    </row>
    <row r="181" spans="1:5" x14ac:dyDescent="0.25">
      <c r="A181" t="s">
        <v>122</v>
      </c>
      <c r="B181" t="str">
        <f>VLOOKUP(Counties_by_State_Code[[#This Row],[State_Code]],Territory_by_Code[],2)</f>
        <v>Arkansas</v>
      </c>
      <c r="C181" t="s">
        <v>167</v>
      </c>
      <c r="D181">
        <v>123416</v>
      </c>
      <c r="E181">
        <v>730.46</v>
      </c>
    </row>
    <row r="182" spans="1:5" x14ac:dyDescent="0.25">
      <c r="A182" t="s">
        <v>122</v>
      </c>
      <c r="B182" t="str">
        <f>VLOOKUP(Counties_by_State_Code[[#This Row],[State_Code]],Territory_by_Code[],2)</f>
        <v>Arkansas</v>
      </c>
      <c r="C182" t="s">
        <v>168</v>
      </c>
      <c r="D182">
        <v>9836</v>
      </c>
      <c r="E182">
        <v>898.09</v>
      </c>
    </row>
    <row r="183" spans="1:5" x14ac:dyDescent="0.25">
      <c r="A183" t="s">
        <v>122</v>
      </c>
      <c r="B183" t="str">
        <f>VLOOKUP(Counties_by_State_Code[[#This Row],[State_Code]],Territory_by_Code[],2)</f>
        <v>Arkansas</v>
      </c>
      <c r="C183" t="s">
        <v>169</v>
      </c>
      <c r="D183">
        <v>7828</v>
      </c>
      <c r="E183">
        <v>668.51</v>
      </c>
    </row>
    <row r="184" spans="1:5" x14ac:dyDescent="0.25">
      <c r="A184" t="s">
        <v>122</v>
      </c>
      <c r="B184" t="str">
        <f>VLOOKUP(Counties_by_State_Code[[#This Row],[State_Code]],Territory_by_Code[],2)</f>
        <v>Arkansas</v>
      </c>
      <c r="C184" t="s">
        <v>170</v>
      </c>
      <c r="D184">
        <v>127799</v>
      </c>
      <c r="E184">
        <v>546.04</v>
      </c>
    </row>
    <row r="185" spans="1:5" x14ac:dyDescent="0.25">
      <c r="A185" t="s">
        <v>122</v>
      </c>
      <c r="B185" t="str">
        <f>VLOOKUP(Counties_by_State_Code[[#This Row],[State_Code]],Territory_by_Code[],2)</f>
        <v>Arkansas</v>
      </c>
      <c r="C185" t="s">
        <v>171</v>
      </c>
      <c r="D185">
        <v>15839</v>
      </c>
      <c r="E185">
        <v>581.35</v>
      </c>
    </row>
    <row r="186" spans="1:5" x14ac:dyDescent="0.25">
      <c r="A186" t="s">
        <v>122</v>
      </c>
      <c r="B186" t="str">
        <f>VLOOKUP(Counties_by_State_Code[[#This Row],[State_Code]],Territory_by_Code[],2)</f>
        <v>Arkansas</v>
      </c>
      <c r="C186" t="s">
        <v>172</v>
      </c>
      <c r="D186">
        <v>17271</v>
      </c>
      <c r="E186">
        <v>606.35</v>
      </c>
    </row>
    <row r="187" spans="1:5" x14ac:dyDescent="0.25">
      <c r="A187" t="s">
        <v>122</v>
      </c>
      <c r="B187" t="str">
        <f>VLOOKUP(Counties_by_State_Code[[#This Row],[State_Code]],Territory_by_Code[],2)</f>
        <v>Arkansas</v>
      </c>
      <c r="C187" t="s">
        <v>173</v>
      </c>
      <c r="D187">
        <v>12359</v>
      </c>
      <c r="E187">
        <v>609.42999999999995</v>
      </c>
    </row>
    <row r="188" spans="1:5" x14ac:dyDescent="0.25">
      <c r="A188" t="s">
        <v>122</v>
      </c>
      <c r="B188" t="str">
        <f>VLOOKUP(Counties_by_State_Code[[#This Row],[State_Code]],Territory_by_Code[],2)</f>
        <v>Arkansas</v>
      </c>
      <c r="C188" t="s">
        <v>174</v>
      </c>
      <c r="D188">
        <v>39054</v>
      </c>
      <c r="E188">
        <v>1055.27</v>
      </c>
    </row>
    <row r="189" spans="1:5" x14ac:dyDescent="0.25">
      <c r="A189" t="s">
        <v>122</v>
      </c>
      <c r="B189" t="str">
        <f>VLOOKUP(Counties_by_State_Code[[#This Row],[State_Code]],Territory_by_Code[],2)</f>
        <v>Arkansas</v>
      </c>
      <c r="C189" t="s">
        <v>175</v>
      </c>
      <c r="D189">
        <v>15796</v>
      </c>
      <c r="E189">
        <v>724.32</v>
      </c>
    </row>
    <row r="190" spans="1:5" x14ac:dyDescent="0.25">
      <c r="A190" t="s">
        <v>122</v>
      </c>
      <c r="B190" t="str">
        <f>VLOOKUP(Counties_by_State_Code[[#This Row],[State_Code]],Territory_by_Code[],2)</f>
        <v>Arkansas</v>
      </c>
      <c r="C190" t="s">
        <v>65</v>
      </c>
      <c r="D190">
        <v>245871</v>
      </c>
      <c r="E190">
        <v>951.72</v>
      </c>
    </row>
    <row r="191" spans="1:5" x14ac:dyDescent="0.25">
      <c r="A191" t="s">
        <v>122</v>
      </c>
      <c r="B191" t="str">
        <f>VLOOKUP(Counties_by_State_Code[[#This Row],[State_Code]],Territory_by_Code[],2)</f>
        <v>Arkansas</v>
      </c>
      <c r="C191" t="s">
        <v>176</v>
      </c>
      <c r="D191">
        <v>76822</v>
      </c>
      <c r="E191">
        <v>1042.3599999999999</v>
      </c>
    </row>
    <row r="192" spans="1:5" x14ac:dyDescent="0.25">
      <c r="A192" t="s">
        <v>122</v>
      </c>
      <c r="B192" t="str">
        <f>VLOOKUP(Counties_by_State_Code[[#This Row],[State_Code]],Territory_by_Code[],2)</f>
        <v>Arkansas</v>
      </c>
      <c r="C192" t="s">
        <v>177</v>
      </c>
      <c r="D192">
        <v>6269</v>
      </c>
      <c r="E192">
        <v>594.04999999999995</v>
      </c>
    </row>
    <row r="193" spans="1:5" x14ac:dyDescent="0.25">
      <c r="A193" t="s">
        <v>122</v>
      </c>
      <c r="B193" t="str">
        <f>VLOOKUP(Counties_by_State_Code[[#This Row],[State_Code]],Territory_by_Code[],2)</f>
        <v>Arkansas</v>
      </c>
      <c r="C193" t="s">
        <v>178</v>
      </c>
      <c r="D193">
        <v>20263</v>
      </c>
      <c r="E193">
        <v>948.84</v>
      </c>
    </row>
    <row r="194" spans="1:5" x14ac:dyDescent="0.25">
      <c r="A194" t="s">
        <v>180</v>
      </c>
      <c r="B194" t="str">
        <f>VLOOKUP(Counties_by_State_Code[[#This Row],[State_Code]],Territory_by_Code[],2)</f>
        <v>California</v>
      </c>
      <c r="C194" t="s">
        <v>179</v>
      </c>
      <c r="D194">
        <v>1682353</v>
      </c>
      <c r="E194">
        <v>738</v>
      </c>
    </row>
    <row r="195" spans="1:5" x14ac:dyDescent="0.25">
      <c r="A195" t="s">
        <v>180</v>
      </c>
      <c r="B195" t="str">
        <f>VLOOKUP(Counties_by_State_Code[[#This Row],[State_Code]],Territory_by_Code[],2)</f>
        <v>California</v>
      </c>
      <c r="C195" t="s">
        <v>181</v>
      </c>
      <c r="D195">
        <v>1204</v>
      </c>
      <c r="E195">
        <v>739</v>
      </c>
    </row>
    <row r="196" spans="1:5" x14ac:dyDescent="0.25">
      <c r="A196" t="s">
        <v>180</v>
      </c>
      <c r="B196" t="str">
        <f>VLOOKUP(Counties_by_State_Code[[#This Row],[State_Code]],Territory_by_Code[],2)</f>
        <v>California</v>
      </c>
      <c r="C196" t="s">
        <v>182</v>
      </c>
      <c r="D196">
        <v>40474</v>
      </c>
      <c r="E196">
        <v>606</v>
      </c>
    </row>
    <row r="197" spans="1:5" x14ac:dyDescent="0.25">
      <c r="A197" t="s">
        <v>180</v>
      </c>
      <c r="B197" t="str">
        <f>VLOOKUP(Counties_by_State_Code[[#This Row],[State_Code]],Territory_by_Code[],2)</f>
        <v>California</v>
      </c>
      <c r="C197" t="s">
        <v>183</v>
      </c>
      <c r="D197">
        <v>211632</v>
      </c>
      <c r="E197">
        <v>1640</v>
      </c>
    </row>
    <row r="198" spans="1:5" x14ac:dyDescent="0.25">
      <c r="A198" t="s">
        <v>180</v>
      </c>
      <c r="B198" t="str">
        <f>VLOOKUP(Counties_by_State_Code[[#This Row],[State_Code]],Territory_by_Code[],2)</f>
        <v>California</v>
      </c>
      <c r="C198" t="s">
        <v>184</v>
      </c>
      <c r="D198">
        <v>45292</v>
      </c>
      <c r="E198">
        <v>1020</v>
      </c>
    </row>
    <row r="199" spans="1:5" x14ac:dyDescent="0.25">
      <c r="A199" t="s">
        <v>180</v>
      </c>
      <c r="B199" t="str">
        <f>VLOOKUP(Counties_by_State_Code[[#This Row],[State_Code]],Territory_by_Code[],2)</f>
        <v>California</v>
      </c>
      <c r="C199" t="s">
        <v>185</v>
      </c>
      <c r="D199">
        <v>21839</v>
      </c>
      <c r="E199">
        <v>1151</v>
      </c>
    </row>
    <row r="200" spans="1:5" x14ac:dyDescent="0.25">
      <c r="A200" t="s">
        <v>180</v>
      </c>
      <c r="B200" t="str">
        <f>VLOOKUP(Counties_by_State_Code[[#This Row],[State_Code]],Territory_by_Code[],2)</f>
        <v>California</v>
      </c>
      <c r="C200" t="s">
        <v>186</v>
      </c>
      <c r="D200">
        <v>1165927</v>
      </c>
      <c r="E200">
        <v>720</v>
      </c>
    </row>
    <row r="201" spans="1:5" x14ac:dyDescent="0.25">
      <c r="A201" t="s">
        <v>180</v>
      </c>
      <c r="B201" t="str">
        <f>VLOOKUP(Counties_by_State_Code[[#This Row],[State_Code]],Territory_by_Code[],2)</f>
        <v>California</v>
      </c>
      <c r="C201" t="s">
        <v>187</v>
      </c>
      <c r="D201">
        <v>27743</v>
      </c>
      <c r="E201">
        <v>1008</v>
      </c>
    </row>
    <row r="202" spans="1:5" x14ac:dyDescent="0.25">
      <c r="A202" t="s">
        <v>180</v>
      </c>
      <c r="B202" t="str">
        <f>VLOOKUP(Counties_by_State_Code[[#This Row],[State_Code]],Territory_by_Code[],2)</f>
        <v>California</v>
      </c>
      <c r="C202" t="s">
        <v>188</v>
      </c>
      <c r="D202">
        <v>191185</v>
      </c>
      <c r="E202">
        <v>1712</v>
      </c>
    </row>
    <row r="203" spans="1:5" x14ac:dyDescent="0.25">
      <c r="A203" t="s">
        <v>180</v>
      </c>
      <c r="B203" t="str">
        <f>VLOOKUP(Counties_by_State_Code[[#This Row],[State_Code]],Territory_by_Code[],2)</f>
        <v>California</v>
      </c>
      <c r="C203" t="s">
        <v>189</v>
      </c>
      <c r="D203">
        <v>1008654</v>
      </c>
      <c r="E203">
        <v>5963</v>
      </c>
    </row>
    <row r="204" spans="1:5" x14ac:dyDescent="0.25">
      <c r="A204" t="s">
        <v>180</v>
      </c>
      <c r="B204" t="str">
        <f>VLOOKUP(Counties_by_State_Code[[#This Row],[State_Code]],Territory_by_Code[],2)</f>
        <v>California</v>
      </c>
      <c r="C204" t="s">
        <v>190</v>
      </c>
      <c r="D204">
        <v>28917</v>
      </c>
      <c r="E204">
        <v>1315</v>
      </c>
    </row>
    <row r="205" spans="1:5" x14ac:dyDescent="0.25">
      <c r="A205" t="s">
        <v>180</v>
      </c>
      <c r="B205" t="str">
        <f>VLOOKUP(Counties_by_State_Code[[#This Row],[State_Code]],Territory_by_Code[],2)</f>
        <v>California</v>
      </c>
      <c r="C205" t="s">
        <v>191</v>
      </c>
      <c r="D205">
        <v>136463</v>
      </c>
      <c r="E205">
        <v>3573</v>
      </c>
    </row>
    <row r="206" spans="1:5" x14ac:dyDescent="0.25">
      <c r="A206" t="s">
        <v>180</v>
      </c>
      <c r="B206" t="str">
        <f>VLOOKUP(Counties_by_State_Code[[#This Row],[State_Code]],Territory_by_Code[],2)</f>
        <v>California</v>
      </c>
      <c r="C206" t="s">
        <v>192</v>
      </c>
      <c r="D206">
        <v>179702</v>
      </c>
      <c r="E206">
        <v>4175</v>
      </c>
    </row>
    <row r="207" spans="1:5" x14ac:dyDescent="0.25">
      <c r="A207" t="s">
        <v>180</v>
      </c>
      <c r="B207" t="str">
        <f>VLOOKUP(Counties_by_State_Code[[#This Row],[State_Code]],Territory_by_Code[],2)</f>
        <v>California</v>
      </c>
      <c r="C207" t="s">
        <v>193</v>
      </c>
      <c r="D207">
        <v>19016</v>
      </c>
      <c r="E207">
        <v>10192</v>
      </c>
    </row>
    <row r="208" spans="1:5" x14ac:dyDescent="0.25">
      <c r="A208" t="s">
        <v>180</v>
      </c>
      <c r="B208" t="str">
        <f>VLOOKUP(Counties_by_State_Code[[#This Row],[State_Code]],Territory_by_Code[],2)</f>
        <v>California</v>
      </c>
      <c r="C208" t="s">
        <v>194</v>
      </c>
      <c r="D208">
        <v>909235</v>
      </c>
      <c r="E208">
        <v>8142</v>
      </c>
    </row>
    <row r="209" spans="1:5" x14ac:dyDescent="0.25">
      <c r="A209" t="s">
        <v>180</v>
      </c>
      <c r="B209" t="str">
        <f>VLOOKUP(Counties_by_State_Code[[#This Row],[State_Code]],Territory_by_Code[],2)</f>
        <v>California</v>
      </c>
      <c r="C209" t="s">
        <v>195</v>
      </c>
      <c r="D209">
        <v>152486</v>
      </c>
      <c r="E209">
        <v>1390</v>
      </c>
    </row>
    <row r="210" spans="1:5" x14ac:dyDescent="0.25">
      <c r="A210" t="s">
        <v>180</v>
      </c>
      <c r="B210" t="str">
        <f>VLOOKUP(Counties_by_State_Code[[#This Row],[State_Code]],Territory_by_Code[],2)</f>
        <v>California</v>
      </c>
      <c r="C210" t="s">
        <v>196</v>
      </c>
      <c r="D210">
        <v>68163</v>
      </c>
      <c r="E210">
        <v>1258</v>
      </c>
    </row>
    <row r="211" spans="1:5" x14ac:dyDescent="0.25">
      <c r="A211" t="s">
        <v>180</v>
      </c>
      <c r="B211" t="str">
        <f>VLOOKUP(Counties_by_State_Code[[#This Row],[State_Code]],Territory_by_Code[],2)</f>
        <v>California</v>
      </c>
      <c r="C211" t="s">
        <v>197</v>
      </c>
      <c r="D211">
        <v>32730</v>
      </c>
      <c r="E211">
        <v>4558</v>
      </c>
    </row>
    <row r="212" spans="1:5" x14ac:dyDescent="0.25">
      <c r="A212" t="s">
        <v>180</v>
      </c>
      <c r="B212" t="str">
        <f>VLOOKUP(Counties_by_State_Code[[#This Row],[State_Code]],Territory_by_Code[],2)</f>
        <v>California</v>
      </c>
      <c r="C212" t="s">
        <v>198</v>
      </c>
      <c r="D212">
        <v>10014009</v>
      </c>
      <c r="E212">
        <v>4060</v>
      </c>
    </row>
    <row r="213" spans="1:5" x14ac:dyDescent="0.25">
      <c r="A213" t="s">
        <v>180</v>
      </c>
      <c r="B213" t="str">
        <f>VLOOKUP(Counties_by_State_Code[[#This Row],[State_Code]],Territory_by_Code[],2)</f>
        <v>California</v>
      </c>
      <c r="C213" t="s">
        <v>199</v>
      </c>
      <c r="D213">
        <v>156255</v>
      </c>
      <c r="E213">
        <v>2138</v>
      </c>
    </row>
    <row r="214" spans="1:5" x14ac:dyDescent="0.25">
      <c r="A214" t="s">
        <v>180</v>
      </c>
      <c r="B214" t="str">
        <f>VLOOKUP(Counties_by_State_Code[[#This Row],[State_Code]],Territory_by_Code[],2)</f>
        <v>California</v>
      </c>
      <c r="C214" t="s">
        <v>200</v>
      </c>
      <c r="D214">
        <v>262321</v>
      </c>
      <c r="E214">
        <v>520</v>
      </c>
    </row>
    <row r="215" spans="1:5" x14ac:dyDescent="0.25">
      <c r="A215" t="s">
        <v>180</v>
      </c>
      <c r="B215" t="str">
        <f>VLOOKUP(Counties_by_State_Code[[#This Row],[State_Code]],Territory_by_Code[],2)</f>
        <v>California</v>
      </c>
      <c r="C215" t="s">
        <v>201</v>
      </c>
      <c r="D215">
        <v>17131</v>
      </c>
      <c r="E215">
        <v>1451</v>
      </c>
    </row>
    <row r="216" spans="1:5" x14ac:dyDescent="0.25">
      <c r="A216" t="s">
        <v>180</v>
      </c>
      <c r="B216" t="str">
        <f>VLOOKUP(Counties_by_State_Code[[#This Row],[State_Code]],Territory_by_Code[],2)</f>
        <v>California</v>
      </c>
      <c r="C216" t="s">
        <v>202</v>
      </c>
      <c r="D216">
        <v>91601</v>
      </c>
      <c r="E216">
        <v>3509</v>
      </c>
    </row>
    <row r="217" spans="1:5" x14ac:dyDescent="0.25">
      <c r="A217" t="s">
        <v>180</v>
      </c>
      <c r="B217" t="str">
        <f>VLOOKUP(Counties_by_State_Code[[#This Row],[State_Code]],Territory_by_Code[],2)</f>
        <v>California</v>
      </c>
      <c r="C217" t="s">
        <v>203</v>
      </c>
      <c r="D217">
        <v>281202</v>
      </c>
      <c r="E217">
        <v>1929</v>
      </c>
    </row>
    <row r="218" spans="1:5" x14ac:dyDescent="0.25">
      <c r="A218" t="s">
        <v>180</v>
      </c>
      <c r="B218" t="str">
        <f>VLOOKUP(Counties_by_State_Code[[#This Row],[State_Code]],Territory_by_Code[],2)</f>
        <v>California</v>
      </c>
      <c r="C218" t="s">
        <v>204</v>
      </c>
      <c r="D218">
        <v>8700</v>
      </c>
      <c r="E218">
        <v>3944</v>
      </c>
    </row>
    <row r="219" spans="1:5" x14ac:dyDescent="0.25">
      <c r="A219" t="s">
        <v>180</v>
      </c>
      <c r="B219" t="str">
        <f>VLOOKUP(Counties_by_State_Code[[#This Row],[State_Code]],Territory_by_Code[],2)</f>
        <v>California</v>
      </c>
      <c r="C219" t="s">
        <v>205</v>
      </c>
      <c r="D219">
        <v>13195</v>
      </c>
      <c r="E219">
        <v>3044</v>
      </c>
    </row>
    <row r="220" spans="1:5" x14ac:dyDescent="0.25">
      <c r="A220" t="s">
        <v>180</v>
      </c>
      <c r="B220" t="str">
        <f>VLOOKUP(Counties_by_State_Code[[#This Row],[State_Code]],Territory_by_Code[],2)</f>
        <v>California</v>
      </c>
      <c r="C220" t="s">
        <v>206</v>
      </c>
      <c r="D220">
        <v>439035</v>
      </c>
      <c r="E220">
        <v>3322</v>
      </c>
    </row>
    <row r="221" spans="1:5" x14ac:dyDescent="0.25">
      <c r="A221" t="s">
        <v>180</v>
      </c>
      <c r="B221" t="str">
        <f>VLOOKUP(Counties_by_State_Code[[#This Row],[State_Code]],Territory_by_Code[],2)</f>
        <v>California</v>
      </c>
      <c r="C221" t="s">
        <v>207</v>
      </c>
      <c r="D221">
        <v>138019</v>
      </c>
      <c r="E221">
        <v>754</v>
      </c>
    </row>
    <row r="222" spans="1:5" x14ac:dyDescent="0.25">
      <c r="A222" t="s">
        <v>180</v>
      </c>
      <c r="B222" t="str">
        <f>VLOOKUP(Counties_by_State_Code[[#This Row],[State_Code]],Territory_by_Code[],2)</f>
        <v>California</v>
      </c>
      <c r="C222" t="s">
        <v>157</v>
      </c>
      <c r="D222">
        <v>102241</v>
      </c>
      <c r="E222">
        <v>958</v>
      </c>
    </row>
    <row r="223" spans="1:5" x14ac:dyDescent="0.25">
      <c r="A223" t="s">
        <v>180</v>
      </c>
      <c r="B223" t="str">
        <f>VLOOKUP(Counties_by_State_Code[[#This Row],[State_Code]],Territory_by_Code[],2)</f>
        <v>California</v>
      </c>
      <c r="C223" t="s">
        <v>208</v>
      </c>
      <c r="D223">
        <v>3186989</v>
      </c>
      <c r="E223">
        <v>948</v>
      </c>
    </row>
    <row r="224" spans="1:5" x14ac:dyDescent="0.25">
      <c r="A224" t="s">
        <v>180</v>
      </c>
      <c r="B224" t="str">
        <f>VLOOKUP(Counties_by_State_Code[[#This Row],[State_Code]],Territory_by_Code[],2)</f>
        <v>California</v>
      </c>
      <c r="C224" t="s">
        <v>209</v>
      </c>
      <c r="D224">
        <v>404739</v>
      </c>
      <c r="E224">
        <v>1407</v>
      </c>
    </row>
    <row r="225" spans="1:5" x14ac:dyDescent="0.25">
      <c r="A225" t="s">
        <v>180</v>
      </c>
      <c r="B225" t="str">
        <f>VLOOKUP(Counties_by_State_Code[[#This Row],[State_Code]],Territory_by_Code[],2)</f>
        <v>California</v>
      </c>
      <c r="C225" t="s">
        <v>210</v>
      </c>
      <c r="D225">
        <v>19790</v>
      </c>
      <c r="E225">
        <v>2554</v>
      </c>
    </row>
    <row r="226" spans="1:5" x14ac:dyDescent="0.25">
      <c r="A226" t="s">
        <v>180</v>
      </c>
      <c r="B226" t="str">
        <f>VLOOKUP(Counties_by_State_Code[[#This Row],[State_Code]],Territory_by_Code[],2)</f>
        <v>California</v>
      </c>
      <c r="C226" t="s">
        <v>211</v>
      </c>
      <c r="D226">
        <v>2418185</v>
      </c>
      <c r="E226">
        <v>7208</v>
      </c>
    </row>
    <row r="227" spans="1:5" x14ac:dyDescent="0.25">
      <c r="A227" t="s">
        <v>180</v>
      </c>
      <c r="B227" t="str">
        <f>VLOOKUP(Counties_by_State_Code[[#This Row],[State_Code]],Territory_by_Code[],2)</f>
        <v>California</v>
      </c>
      <c r="C227" t="s">
        <v>212</v>
      </c>
      <c r="D227">
        <v>1585055</v>
      </c>
      <c r="E227">
        <v>966</v>
      </c>
    </row>
    <row r="228" spans="1:5" x14ac:dyDescent="0.25">
      <c r="A228" t="s">
        <v>180</v>
      </c>
      <c r="B228" t="str">
        <f>VLOOKUP(Counties_by_State_Code[[#This Row],[State_Code]],Territory_by_Code[],2)</f>
        <v>California</v>
      </c>
      <c r="C228" t="s">
        <v>213</v>
      </c>
      <c r="D228">
        <v>64209</v>
      </c>
      <c r="E228">
        <v>1389</v>
      </c>
    </row>
    <row r="229" spans="1:5" x14ac:dyDescent="0.25">
      <c r="A229" t="s">
        <v>180</v>
      </c>
      <c r="B229" t="str">
        <f>VLOOKUP(Counties_by_State_Code[[#This Row],[State_Code]],Territory_by_Code[],2)</f>
        <v>California</v>
      </c>
      <c r="C229" t="s">
        <v>214</v>
      </c>
      <c r="D229">
        <v>2181654</v>
      </c>
      <c r="E229">
        <v>20062</v>
      </c>
    </row>
    <row r="230" spans="1:5" x14ac:dyDescent="0.25">
      <c r="A230" t="s">
        <v>180</v>
      </c>
      <c r="B230" t="str">
        <f>VLOOKUP(Counties_by_State_Code[[#This Row],[State_Code]],Territory_by_Code[],2)</f>
        <v>California</v>
      </c>
      <c r="C230" t="s">
        <v>215</v>
      </c>
      <c r="D230">
        <v>3298634</v>
      </c>
      <c r="E230">
        <v>4204</v>
      </c>
    </row>
    <row r="231" spans="1:5" x14ac:dyDescent="0.25">
      <c r="A231" t="s">
        <v>180</v>
      </c>
      <c r="B231" t="str">
        <f>VLOOKUP(Counties_by_State_Code[[#This Row],[State_Code]],Territory_by_Code[],2)</f>
        <v>California</v>
      </c>
      <c r="C231" t="s">
        <v>216</v>
      </c>
      <c r="D231">
        <v>873965</v>
      </c>
      <c r="E231">
        <v>47</v>
      </c>
    </row>
    <row r="232" spans="1:5" x14ac:dyDescent="0.25">
      <c r="A232" t="s">
        <v>180</v>
      </c>
      <c r="B232" t="str">
        <f>VLOOKUP(Counties_by_State_Code[[#This Row],[State_Code]],Territory_by_Code[],2)</f>
        <v>California</v>
      </c>
      <c r="C232" t="s">
        <v>217</v>
      </c>
      <c r="D232">
        <v>779233</v>
      </c>
      <c r="E232">
        <v>1399</v>
      </c>
    </row>
    <row r="233" spans="1:5" x14ac:dyDescent="0.25">
      <c r="A233" t="s">
        <v>180</v>
      </c>
      <c r="B233" t="str">
        <f>VLOOKUP(Counties_by_State_Code[[#This Row],[State_Code]],Territory_by_Code[],2)</f>
        <v>California</v>
      </c>
      <c r="C233" t="s">
        <v>218</v>
      </c>
      <c r="D233">
        <v>282424</v>
      </c>
      <c r="E233">
        <v>3304</v>
      </c>
    </row>
    <row r="234" spans="1:5" x14ac:dyDescent="0.25">
      <c r="A234" t="s">
        <v>180</v>
      </c>
      <c r="B234" t="str">
        <f>VLOOKUP(Counties_by_State_Code[[#This Row],[State_Code]],Territory_by_Code[],2)</f>
        <v>California</v>
      </c>
      <c r="C234" t="s">
        <v>219</v>
      </c>
      <c r="D234">
        <v>764442</v>
      </c>
      <c r="E234">
        <v>449</v>
      </c>
    </row>
    <row r="235" spans="1:5" x14ac:dyDescent="0.25">
      <c r="A235" t="s">
        <v>180</v>
      </c>
      <c r="B235" t="str">
        <f>VLOOKUP(Counties_by_State_Code[[#This Row],[State_Code]],Territory_by_Code[],2)</f>
        <v>California</v>
      </c>
      <c r="C235" t="s">
        <v>220</v>
      </c>
      <c r="D235">
        <v>448229</v>
      </c>
      <c r="E235">
        <v>2738</v>
      </c>
    </row>
    <row r="236" spans="1:5" x14ac:dyDescent="0.25">
      <c r="A236" t="s">
        <v>180</v>
      </c>
      <c r="B236" t="str">
        <f>VLOOKUP(Counties_by_State_Code[[#This Row],[State_Code]],Territory_by_Code[],2)</f>
        <v>California</v>
      </c>
      <c r="C236" t="s">
        <v>221</v>
      </c>
      <c r="D236">
        <v>1936259</v>
      </c>
      <c r="E236">
        <v>1291</v>
      </c>
    </row>
    <row r="237" spans="1:5" x14ac:dyDescent="0.25">
      <c r="A237" t="s">
        <v>180</v>
      </c>
      <c r="B237" t="str">
        <f>VLOOKUP(Counties_by_State_Code[[#This Row],[State_Code]],Territory_by_Code[],2)</f>
        <v>California</v>
      </c>
      <c r="C237" t="s">
        <v>118</v>
      </c>
      <c r="D237">
        <v>270861</v>
      </c>
      <c r="E237">
        <v>446</v>
      </c>
    </row>
    <row r="238" spans="1:5" x14ac:dyDescent="0.25">
      <c r="A238" t="s">
        <v>180</v>
      </c>
      <c r="B238" t="str">
        <f>VLOOKUP(Counties_by_State_Code[[#This Row],[State_Code]],Territory_by_Code[],2)</f>
        <v>California</v>
      </c>
      <c r="C238" t="s">
        <v>222</v>
      </c>
      <c r="D238">
        <v>182155</v>
      </c>
      <c r="E238">
        <v>3786</v>
      </c>
    </row>
    <row r="239" spans="1:5" x14ac:dyDescent="0.25">
      <c r="A239" t="s">
        <v>180</v>
      </c>
      <c r="B239" t="str">
        <f>VLOOKUP(Counties_by_State_Code[[#This Row],[State_Code]],Territory_by_Code[],2)</f>
        <v>California</v>
      </c>
      <c r="C239" t="s">
        <v>223</v>
      </c>
      <c r="D239">
        <v>3236</v>
      </c>
      <c r="E239">
        <v>953</v>
      </c>
    </row>
    <row r="240" spans="1:5" x14ac:dyDescent="0.25">
      <c r="A240" t="s">
        <v>180</v>
      </c>
      <c r="B240" t="str">
        <f>VLOOKUP(Counties_by_State_Code[[#This Row],[State_Code]],Territory_by_Code[],2)</f>
        <v>California</v>
      </c>
      <c r="C240" t="s">
        <v>224</v>
      </c>
      <c r="D240">
        <v>44076</v>
      </c>
      <c r="E240">
        <v>6287</v>
      </c>
    </row>
    <row r="241" spans="1:5" x14ac:dyDescent="0.25">
      <c r="A241" t="s">
        <v>180</v>
      </c>
      <c r="B241" t="str">
        <f>VLOOKUP(Counties_by_State_Code[[#This Row],[State_Code]],Territory_by_Code[],2)</f>
        <v>California</v>
      </c>
      <c r="C241" t="s">
        <v>225</v>
      </c>
      <c r="D241">
        <v>453491</v>
      </c>
      <c r="E241">
        <v>828</v>
      </c>
    </row>
    <row r="242" spans="1:5" x14ac:dyDescent="0.25">
      <c r="A242" t="s">
        <v>180</v>
      </c>
      <c r="B242" t="str">
        <f>VLOOKUP(Counties_by_State_Code[[#This Row],[State_Code]],Territory_by_Code[],2)</f>
        <v>California</v>
      </c>
      <c r="C242" t="s">
        <v>226</v>
      </c>
      <c r="D242">
        <v>488863</v>
      </c>
      <c r="E242">
        <v>1576</v>
      </c>
    </row>
    <row r="243" spans="1:5" x14ac:dyDescent="0.25">
      <c r="A243" t="s">
        <v>180</v>
      </c>
      <c r="B243" t="str">
        <f>VLOOKUP(Counties_by_State_Code[[#This Row],[State_Code]],Territory_by_Code[],2)</f>
        <v>California</v>
      </c>
      <c r="C243" t="s">
        <v>227</v>
      </c>
      <c r="D243">
        <v>552878</v>
      </c>
      <c r="E243">
        <v>1495</v>
      </c>
    </row>
    <row r="244" spans="1:5" x14ac:dyDescent="0.25">
      <c r="A244" t="s">
        <v>180</v>
      </c>
      <c r="B244" t="str">
        <f>VLOOKUP(Counties_by_State_Code[[#This Row],[State_Code]],Territory_by_Code[],2)</f>
        <v>California</v>
      </c>
      <c r="C244" t="s">
        <v>228</v>
      </c>
      <c r="D244">
        <v>99633</v>
      </c>
      <c r="E244">
        <v>603</v>
      </c>
    </row>
    <row r="245" spans="1:5" x14ac:dyDescent="0.25">
      <c r="A245" t="s">
        <v>180</v>
      </c>
      <c r="B245" t="str">
        <f>VLOOKUP(Counties_by_State_Code[[#This Row],[State_Code]],Territory_by_Code[],2)</f>
        <v>California</v>
      </c>
      <c r="C245" t="s">
        <v>229</v>
      </c>
      <c r="D245">
        <v>65829</v>
      </c>
      <c r="E245">
        <v>2951</v>
      </c>
    </row>
    <row r="246" spans="1:5" x14ac:dyDescent="0.25">
      <c r="A246" t="s">
        <v>180</v>
      </c>
      <c r="B246" t="str">
        <f>VLOOKUP(Counties_by_State_Code[[#This Row],[State_Code]],Territory_by_Code[],2)</f>
        <v>California</v>
      </c>
      <c r="C246" t="s">
        <v>230</v>
      </c>
      <c r="D246">
        <v>16112</v>
      </c>
      <c r="E246">
        <v>3179</v>
      </c>
    </row>
    <row r="247" spans="1:5" x14ac:dyDescent="0.25">
      <c r="A247" t="s">
        <v>180</v>
      </c>
      <c r="B247" t="str">
        <f>VLOOKUP(Counties_by_State_Code[[#This Row],[State_Code]],Territory_by_Code[],2)</f>
        <v>California</v>
      </c>
      <c r="C247" t="s">
        <v>231</v>
      </c>
      <c r="D247">
        <v>473117</v>
      </c>
      <c r="E247">
        <v>4824</v>
      </c>
    </row>
    <row r="248" spans="1:5" x14ac:dyDescent="0.25">
      <c r="A248" t="s">
        <v>180</v>
      </c>
      <c r="B248" t="str">
        <f>VLOOKUP(Counties_by_State_Code[[#This Row],[State_Code]],Territory_by_Code[],2)</f>
        <v>California</v>
      </c>
      <c r="C248" t="s">
        <v>232</v>
      </c>
      <c r="D248">
        <v>55620</v>
      </c>
      <c r="E248">
        <v>2236</v>
      </c>
    </row>
    <row r="249" spans="1:5" x14ac:dyDescent="0.25">
      <c r="A249" t="s">
        <v>180</v>
      </c>
      <c r="B249" t="str">
        <f>VLOOKUP(Counties_by_State_Code[[#This Row],[State_Code]],Territory_by_Code[],2)</f>
        <v>California</v>
      </c>
      <c r="C249" t="s">
        <v>233</v>
      </c>
      <c r="D249">
        <v>843843</v>
      </c>
      <c r="E249">
        <v>1846</v>
      </c>
    </row>
    <row r="250" spans="1:5" x14ac:dyDescent="0.25">
      <c r="A250" t="s">
        <v>180</v>
      </c>
      <c r="B250" t="str">
        <f>VLOOKUP(Counties_by_State_Code[[#This Row],[State_Code]],Territory_by_Code[],2)</f>
        <v>California</v>
      </c>
      <c r="C250" t="s">
        <v>234</v>
      </c>
      <c r="D250">
        <v>216403</v>
      </c>
      <c r="E250">
        <v>1012</v>
      </c>
    </row>
    <row r="251" spans="1:5" x14ac:dyDescent="0.25">
      <c r="A251" t="s">
        <v>180</v>
      </c>
      <c r="B251" t="str">
        <f>VLOOKUP(Counties_by_State_Code[[#This Row],[State_Code]],Territory_by_Code[],2)</f>
        <v>California</v>
      </c>
      <c r="C251" t="s">
        <v>235</v>
      </c>
      <c r="D251">
        <v>81575</v>
      </c>
      <c r="E251">
        <v>630</v>
      </c>
    </row>
    <row r="252" spans="1:5" x14ac:dyDescent="0.25">
      <c r="A252" t="s">
        <v>237</v>
      </c>
      <c r="B252" t="str">
        <f>VLOOKUP(Counties_by_State_Code[[#This Row],[State_Code]],Territory_by_Code[],2)</f>
        <v>Colorado</v>
      </c>
      <c r="C252" t="s">
        <v>236</v>
      </c>
      <c r="D252">
        <v>519572</v>
      </c>
      <c r="E252">
        <v>1182.29</v>
      </c>
    </row>
    <row r="253" spans="1:5" x14ac:dyDescent="0.25">
      <c r="A253" t="s">
        <v>237</v>
      </c>
      <c r="B253" t="str">
        <f>VLOOKUP(Counties_by_State_Code[[#This Row],[State_Code]],Territory_by_Code[],2)</f>
        <v>Colorado</v>
      </c>
      <c r="C253" t="s">
        <v>238</v>
      </c>
      <c r="D253">
        <v>16376</v>
      </c>
      <c r="E253">
        <v>723.21</v>
      </c>
    </row>
    <row r="254" spans="1:5" x14ac:dyDescent="0.25">
      <c r="A254" t="s">
        <v>237</v>
      </c>
      <c r="B254" t="str">
        <f>VLOOKUP(Counties_by_State_Code[[#This Row],[State_Code]],Territory_by_Code[],2)</f>
        <v>Colorado</v>
      </c>
      <c r="C254" t="s">
        <v>239</v>
      </c>
      <c r="D254">
        <v>655070</v>
      </c>
      <c r="E254">
        <v>804.41</v>
      </c>
    </row>
    <row r="255" spans="1:5" x14ac:dyDescent="0.25">
      <c r="A255" t="s">
        <v>237</v>
      </c>
      <c r="B255" t="str">
        <f>VLOOKUP(Counties_by_State_Code[[#This Row],[State_Code]],Territory_by_Code[],2)</f>
        <v>Colorado</v>
      </c>
      <c r="C255" t="s">
        <v>240</v>
      </c>
      <c r="D255">
        <v>13359</v>
      </c>
      <c r="E255">
        <v>1354.53</v>
      </c>
    </row>
    <row r="256" spans="1:5" x14ac:dyDescent="0.25">
      <c r="A256" t="s">
        <v>237</v>
      </c>
      <c r="B256" t="str">
        <f>VLOOKUP(Counties_by_State_Code[[#This Row],[State_Code]],Territory_by_Code[],2)</f>
        <v>Colorado</v>
      </c>
      <c r="C256" t="s">
        <v>241</v>
      </c>
      <c r="D256">
        <v>3506</v>
      </c>
      <c r="E256">
        <v>2558.48</v>
      </c>
    </row>
    <row r="257" spans="1:5" x14ac:dyDescent="0.25">
      <c r="A257" t="s">
        <v>237</v>
      </c>
      <c r="B257" t="str">
        <f>VLOOKUP(Counties_by_State_Code[[#This Row],[State_Code]],Territory_by_Code[],2)</f>
        <v>Colorado</v>
      </c>
      <c r="C257" t="s">
        <v>242</v>
      </c>
      <c r="D257">
        <v>5650</v>
      </c>
      <c r="E257">
        <v>1541.07</v>
      </c>
    </row>
    <row r="258" spans="1:5" x14ac:dyDescent="0.25">
      <c r="A258" t="s">
        <v>237</v>
      </c>
      <c r="B258" t="str">
        <f>VLOOKUP(Counties_by_State_Code[[#This Row],[State_Code]],Territory_by_Code[],2)</f>
        <v>Colorado</v>
      </c>
      <c r="C258" t="s">
        <v>243</v>
      </c>
      <c r="D258">
        <v>330758</v>
      </c>
      <c r="E258">
        <v>740.48</v>
      </c>
    </row>
    <row r="259" spans="1:5" x14ac:dyDescent="0.25">
      <c r="A259" t="s">
        <v>237</v>
      </c>
      <c r="B259" t="str">
        <f>VLOOKUP(Counties_by_State_Code[[#This Row],[State_Code]],Territory_by_Code[],2)</f>
        <v>Colorado</v>
      </c>
      <c r="C259" t="s">
        <v>244</v>
      </c>
      <c r="D259">
        <v>74112</v>
      </c>
      <c r="E259">
        <v>33.57</v>
      </c>
    </row>
    <row r="260" spans="1:5" x14ac:dyDescent="0.25">
      <c r="A260" t="s">
        <v>237</v>
      </c>
      <c r="B260" t="str">
        <f>VLOOKUP(Counties_by_State_Code[[#This Row],[State_Code]],Territory_by_Code[],2)</f>
        <v>Colorado</v>
      </c>
      <c r="C260" t="s">
        <v>245</v>
      </c>
      <c r="D260">
        <v>19476</v>
      </c>
      <c r="E260">
        <v>1014.12</v>
      </c>
    </row>
    <row r="261" spans="1:5" x14ac:dyDescent="0.25">
      <c r="A261" t="s">
        <v>237</v>
      </c>
      <c r="B261" t="str">
        <f>VLOOKUP(Counties_by_State_Code[[#This Row],[State_Code]],Territory_by_Code[],2)</f>
        <v>Colorado</v>
      </c>
      <c r="C261" t="s">
        <v>246</v>
      </c>
      <c r="D261">
        <v>1748</v>
      </c>
      <c r="E261">
        <v>1781.9</v>
      </c>
    </row>
    <row r="262" spans="1:5" x14ac:dyDescent="0.25">
      <c r="A262" t="s">
        <v>237</v>
      </c>
      <c r="B262" t="str">
        <f>VLOOKUP(Counties_by_State_Code[[#This Row],[State_Code]],Territory_by_Code[],2)</f>
        <v>Colorado</v>
      </c>
      <c r="C262" t="s">
        <v>247</v>
      </c>
      <c r="D262">
        <v>9397</v>
      </c>
      <c r="E262">
        <v>396.53</v>
      </c>
    </row>
    <row r="263" spans="1:5" x14ac:dyDescent="0.25">
      <c r="A263" t="s">
        <v>237</v>
      </c>
      <c r="B263" t="str">
        <f>VLOOKUP(Counties_by_State_Code[[#This Row],[State_Code]],Territory_by_Code[],2)</f>
        <v>Colorado</v>
      </c>
      <c r="C263" t="s">
        <v>248</v>
      </c>
      <c r="D263">
        <v>7461</v>
      </c>
      <c r="E263">
        <v>1290.22</v>
      </c>
    </row>
    <row r="264" spans="1:5" x14ac:dyDescent="0.25">
      <c r="A264" t="s">
        <v>237</v>
      </c>
      <c r="B264" t="str">
        <f>VLOOKUP(Counties_by_State_Code[[#This Row],[State_Code]],Territory_by_Code[],2)</f>
        <v>Colorado</v>
      </c>
      <c r="C264" t="s">
        <v>249</v>
      </c>
      <c r="D264">
        <v>3499</v>
      </c>
      <c r="E264">
        <v>1229.3800000000001</v>
      </c>
    </row>
    <row r="265" spans="1:5" x14ac:dyDescent="0.25">
      <c r="A265" t="s">
        <v>237</v>
      </c>
      <c r="B265" t="str">
        <f>VLOOKUP(Counties_by_State_Code[[#This Row],[State_Code]],Territory_by_Code[],2)</f>
        <v>Colorado</v>
      </c>
      <c r="C265" t="s">
        <v>250</v>
      </c>
      <c r="D265">
        <v>5922</v>
      </c>
      <c r="E265">
        <v>800.27</v>
      </c>
    </row>
    <row r="266" spans="1:5" x14ac:dyDescent="0.25">
      <c r="A266" t="s">
        <v>237</v>
      </c>
      <c r="B266" t="str">
        <f>VLOOKUP(Counties_by_State_Code[[#This Row],[State_Code]],Territory_by_Code[],2)</f>
        <v>Colorado</v>
      </c>
      <c r="C266" t="s">
        <v>251</v>
      </c>
      <c r="D266">
        <v>4704</v>
      </c>
      <c r="E266">
        <v>739.24</v>
      </c>
    </row>
    <row r="267" spans="1:5" x14ac:dyDescent="0.25">
      <c r="A267" t="s">
        <v>237</v>
      </c>
      <c r="B267" t="str">
        <f>VLOOKUP(Counties_by_State_Code[[#This Row],[State_Code]],Territory_by_Code[],2)</f>
        <v>Colorado</v>
      </c>
      <c r="C267" t="s">
        <v>252</v>
      </c>
      <c r="D267">
        <v>31196</v>
      </c>
      <c r="E267">
        <v>1149.44</v>
      </c>
    </row>
    <row r="268" spans="1:5" x14ac:dyDescent="0.25">
      <c r="A268" t="s">
        <v>237</v>
      </c>
      <c r="B268" t="str">
        <f>VLOOKUP(Counties_by_State_Code[[#This Row],[State_Code]],Territory_by_Code[],2)</f>
        <v>Colorado</v>
      </c>
      <c r="C268" t="s">
        <v>253</v>
      </c>
      <c r="D268">
        <v>715522</v>
      </c>
      <c r="E268">
        <v>155.66</v>
      </c>
    </row>
    <row r="269" spans="1:5" x14ac:dyDescent="0.25">
      <c r="A269" t="s">
        <v>237</v>
      </c>
      <c r="B269" t="str">
        <f>VLOOKUP(Counties_by_State_Code[[#This Row],[State_Code]],Territory_by_Code[],2)</f>
        <v>Colorado</v>
      </c>
      <c r="C269" t="s">
        <v>254</v>
      </c>
      <c r="D269">
        <v>2326</v>
      </c>
      <c r="E269">
        <v>1076.93</v>
      </c>
    </row>
    <row r="270" spans="1:5" x14ac:dyDescent="0.25">
      <c r="A270" t="s">
        <v>237</v>
      </c>
      <c r="B270" t="str">
        <f>VLOOKUP(Counties_by_State_Code[[#This Row],[State_Code]],Territory_by_Code[],2)</f>
        <v>Colorado</v>
      </c>
      <c r="C270" t="s">
        <v>255</v>
      </c>
      <c r="D270">
        <v>357978</v>
      </c>
      <c r="E270">
        <v>842.3</v>
      </c>
    </row>
    <row r="271" spans="1:5" x14ac:dyDescent="0.25">
      <c r="A271" t="s">
        <v>237</v>
      </c>
      <c r="B271" t="str">
        <f>VLOOKUP(Counties_by_State_Code[[#This Row],[State_Code]],Territory_by_Code[],2)</f>
        <v>Colorado</v>
      </c>
      <c r="C271" t="s">
        <v>256</v>
      </c>
      <c r="D271">
        <v>55731</v>
      </c>
      <c r="E271">
        <v>1700.76</v>
      </c>
    </row>
    <row r="272" spans="1:5" x14ac:dyDescent="0.25">
      <c r="A272" t="s">
        <v>237</v>
      </c>
      <c r="B272" t="str">
        <f>VLOOKUP(Counties_by_State_Code[[#This Row],[State_Code]],Territory_by_Code[],2)</f>
        <v>Colorado</v>
      </c>
      <c r="C272" t="s">
        <v>257</v>
      </c>
      <c r="D272">
        <v>730395</v>
      </c>
      <c r="E272">
        <v>2128.6</v>
      </c>
    </row>
    <row r="273" spans="1:5" x14ac:dyDescent="0.25">
      <c r="A273" t="s">
        <v>237</v>
      </c>
      <c r="B273" t="str">
        <f>VLOOKUP(Counties_by_State_Code[[#This Row],[State_Code]],Territory_by_Code[],2)</f>
        <v>Colorado</v>
      </c>
      <c r="C273" t="s">
        <v>258</v>
      </c>
      <c r="D273">
        <v>26062</v>
      </c>
      <c r="E273">
        <v>1849.08</v>
      </c>
    </row>
    <row r="274" spans="1:5" x14ac:dyDescent="0.25">
      <c r="A274" t="s">
        <v>237</v>
      </c>
      <c r="B274" t="str">
        <f>VLOOKUP(Counties_by_State_Code[[#This Row],[State_Code]],Territory_by_Code[],2)</f>
        <v>Colorado</v>
      </c>
      <c r="C274" t="s">
        <v>259</v>
      </c>
      <c r="D274">
        <v>48939</v>
      </c>
      <c r="E274">
        <v>1533.09</v>
      </c>
    </row>
    <row r="275" spans="1:5" x14ac:dyDescent="0.25">
      <c r="A275" t="s">
        <v>237</v>
      </c>
      <c r="B275" t="str">
        <f>VLOOKUP(Counties_by_State_Code[[#This Row],[State_Code]],Territory_by_Code[],2)</f>
        <v>Colorado</v>
      </c>
      <c r="C275" t="s">
        <v>260</v>
      </c>
      <c r="D275">
        <v>61685</v>
      </c>
      <c r="E275">
        <v>2958.23</v>
      </c>
    </row>
    <row r="276" spans="1:5" x14ac:dyDescent="0.25">
      <c r="A276" t="s">
        <v>237</v>
      </c>
      <c r="B276" t="str">
        <f>VLOOKUP(Counties_by_State_Code[[#This Row],[State_Code]],Territory_by_Code[],2)</f>
        <v>Colorado</v>
      </c>
      <c r="C276" t="s">
        <v>261</v>
      </c>
      <c r="D276">
        <v>5808</v>
      </c>
      <c r="E276">
        <v>150.15</v>
      </c>
    </row>
    <row r="277" spans="1:5" x14ac:dyDescent="0.25">
      <c r="A277" t="s">
        <v>237</v>
      </c>
      <c r="B277" t="str">
        <f>VLOOKUP(Counties_by_State_Code[[#This Row],[State_Code]],Territory_by_Code[],2)</f>
        <v>Colorado</v>
      </c>
      <c r="C277" t="s">
        <v>262</v>
      </c>
      <c r="D277">
        <v>15717</v>
      </c>
      <c r="E277">
        <v>1868.53</v>
      </c>
    </row>
    <row r="278" spans="1:5" x14ac:dyDescent="0.25">
      <c r="A278" t="s">
        <v>237</v>
      </c>
      <c r="B278" t="str">
        <f>VLOOKUP(Counties_by_State_Code[[#This Row],[State_Code]],Territory_by_Code[],2)</f>
        <v>Colorado</v>
      </c>
      <c r="C278" t="s">
        <v>263</v>
      </c>
      <c r="D278">
        <v>16918</v>
      </c>
      <c r="E278">
        <v>3259.22</v>
      </c>
    </row>
    <row r="279" spans="1:5" x14ac:dyDescent="0.25">
      <c r="A279" t="s">
        <v>237</v>
      </c>
      <c r="B279" t="str">
        <f>VLOOKUP(Counties_by_State_Code[[#This Row],[State_Code]],Territory_by_Code[],2)</f>
        <v>Colorado</v>
      </c>
      <c r="C279" t="s">
        <v>264</v>
      </c>
      <c r="D279">
        <v>788</v>
      </c>
      <c r="E279">
        <v>1123.3499999999999</v>
      </c>
    </row>
    <row r="280" spans="1:5" x14ac:dyDescent="0.25">
      <c r="A280" t="s">
        <v>237</v>
      </c>
      <c r="B280" t="str">
        <f>VLOOKUP(Counties_by_State_Code[[#This Row],[State_Code]],Territory_by_Code[],2)</f>
        <v>Colorado</v>
      </c>
      <c r="C280" t="s">
        <v>265</v>
      </c>
      <c r="D280">
        <v>6820</v>
      </c>
      <c r="E280">
        <v>1592.37</v>
      </c>
    </row>
    <row r="281" spans="1:5" x14ac:dyDescent="0.25">
      <c r="A281" t="s">
        <v>237</v>
      </c>
      <c r="B281" t="str">
        <f>VLOOKUP(Counties_by_State_Code[[#This Row],[State_Code]],Territory_by_Code[],2)</f>
        <v>Colorado</v>
      </c>
      <c r="C281" t="s">
        <v>36</v>
      </c>
      <c r="D281">
        <v>1379</v>
      </c>
      <c r="E281">
        <v>1619.75</v>
      </c>
    </row>
    <row r="282" spans="1:5" x14ac:dyDescent="0.25">
      <c r="A282" t="s">
        <v>237</v>
      </c>
      <c r="B282" t="str">
        <f>VLOOKUP(Counties_by_State_Code[[#This Row],[State_Code]],Territory_by_Code[],2)</f>
        <v>Colorado</v>
      </c>
      <c r="C282" t="s">
        <v>37</v>
      </c>
      <c r="D282">
        <v>582910</v>
      </c>
      <c r="E282">
        <v>772.85</v>
      </c>
    </row>
    <row r="283" spans="1:5" x14ac:dyDescent="0.25">
      <c r="A283" t="s">
        <v>237</v>
      </c>
      <c r="B283" t="str">
        <f>VLOOKUP(Counties_by_State_Code[[#This Row],[State_Code]],Territory_by_Code[],2)</f>
        <v>Colorado</v>
      </c>
      <c r="C283" t="s">
        <v>266</v>
      </c>
      <c r="D283">
        <v>1446</v>
      </c>
      <c r="E283">
        <v>1785.9</v>
      </c>
    </row>
    <row r="284" spans="1:5" x14ac:dyDescent="0.25">
      <c r="A284" t="s">
        <v>237</v>
      </c>
      <c r="B284" t="str">
        <f>VLOOKUP(Counties_by_State_Code[[#This Row],[State_Code]],Territory_by_Code[],2)</f>
        <v>Colorado</v>
      </c>
      <c r="C284" t="s">
        <v>267</v>
      </c>
      <c r="D284">
        <v>7087</v>
      </c>
      <c r="E284">
        <v>2162.4299999999998</v>
      </c>
    </row>
    <row r="285" spans="1:5" x14ac:dyDescent="0.25">
      <c r="A285" t="s">
        <v>237</v>
      </c>
      <c r="B285" t="str">
        <f>VLOOKUP(Counties_by_State_Code[[#This Row],[State_Code]],Territory_by_Code[],2)</f>
        <v>Colorado</v>
      </c>
      <c r="C285" t="s">
        <v>268</v>
      </c>
      <c r="D285">
        <v>55638</v>
      </c>
      <c r="E285">
        <v>1700.44</v>
      </c>
    </row>
    <row r="286" spans="1:5" x14ac:dyDescent="0.25">
      <c r="A286" t="s">
        <v>237</v>
      </c>
      <c r="B286" t="str">
        <f>VLOOKUP(Counties_by_State_Code[[#This Row],[State_Code]],Territory_by_Code[],2)</f>
        <v>Colorado</v>
      </c>
      <c r="C286" t="s">
        <v>196</v>
      </c>
      <c r="D286">
        <v>7436</v>
      </c>
      <c r="E286">
        <v>383.55</v>
      </c>
    </row>
    <row r="287" spans="1:5" x14ac:dyDescent="0.25">
      <c r="A287" t="s">
        <v>237</v>
      </c>
      <c r="B287" t="str">
        <f>VLOOKUP(Counties_by_State_Code[[#This Row],[State_Code]],Territory_by_Code[],2)</f>
        <v>Colorado</v>
      </c>
      <c r="C287" t="s">
        <v>269</v>
      </c>
      <c r="D287">
        <v>359066</v>
      </c>
      <c r="E287">
        <v>2631.75</v>
      </c>
    </row>
    <row r="288" spans="1:5" x14ac:dyDescent="0.25">
      <c r="A288" t="s">
        <v>237</v>
      </c>
      <c r="B288" t="str">
        <f>VLOOKUP(Counties_by_State_Code[[#This Row],[State_Code]],Territory_by_Code[],2)</f>
        <v>Colorado</v>
      </c>
      <c r="C288" t="s">
        <v>270</v>
      </c>
      <c r="D288">
        <v>14555</v>
      </c>
      <c r="E288">
        <v>4773.2700000000004</v>
      </c>
    </row>
    <row r="289" spans="1:5" x14ac:dyDescent="0.25">
      <c r="A289" t="s">
        <v>237</v>
      </c>
      <c r="B289" t="str">
        <f>VLOOKUP(Counties_by_State_Code[[#This Row],[State_Code]],Territory_by_Code[],2)</f>
        <v>Colorado</v>
      </c>
      <c r="C289" t="s">
        <v>151</v>
      </c>
      <c r="D289">
        <v>5675</v>
      </c>
      <c r="E289">
        <v>2585.21</v>
      </c>
    </row>
    <row r="290" spans="1:5" x14ac:dyDescent="0.25">
      <c r="A290" t="s">
        <v>237</v>
      </c>
      <c r="B290" t="str">
        <f>VLOOKUP(Counties_by_State_Code[[#This Row],[State_Code]],Territory_by_Code[],2)</f>
        <v>Colorado</v>
      </c>
      <c r="C290" t="s">
        <v>153</v>
      </c>
      <c r="D290">
        <v>21528</v>
      </c>
      <c r="E290">
        <v>1845.31</v>
      </c>
    </row>
    <row r="291" spans="1:5" x14ac:dyDescent="0.25">
      <c r="A291" t="s">
        <v>237</v>
      </c>
      <c r="B291" t="str">
        <f>VLOOKUP(Counties_by_State_Code[[#This Row],[State_Code]],Territory_by_Code[],2)</f>
        <v>Colorado</v>
      </c>
      <c r="C291" t="s">
        <v>271</v>
      </c>
      <c r="D291">
        <v>155703</v>
      </c>
      <c r="E291">
        <v>3345.69</v>
      </c>
    </row>
    <row r="292" spans="1:5" x14ac:dyDescent="0.25">
      <c r="A292" t="s">
        <v>237</v>
      </c>
      <c r="B292" t="str">
        <f>VLOOKUP(Counties_by_State_Code[[#This Row],[State_Code]],Territory_by_Code[],2)</f>
        <v>Colorado</v>
      </c>
      <c r="C292" t="s">
        <v>272</v>
      </c>
      <c r="D292">
        <v>865</v>
      </c>
      <c r="E292">
        <v>878.16</v>
      </c>
    </row>
    <row r="293" spans="1:5" x14ac:dyDescent="0.25">
      <c r="A293" t="s">
        <v>237</v>
      </c>
      <c r="B293" t="str">
        <f>VLOOKUP(Counties_by_State_Code[[#This Row],[State_Code]],Territory_by_Code[],2)</f>
        <v>Colorado</v>
      </c>
      <c r="C293" t="s">
        <v>273</v>
      </c>
      <c r="D293">
        <v>13292</v>
      </c>
      <c r="E293">
        <v>4755.8599999999997</v>
      </c>
    </row>
    <row r="294" spans="1:5" x14ac:dyDescent="0.25">
      <c r="A294" t="s">
        <v>237</v>
      </c>
      <c r="B294" t="str">
        <f>VLOOKUP(Counties_by_State_Code[[#This Row],[State_Code]],Territory_by_Code[],2)</f>
        <v>Colorado</v>
      </c>
      <c r="C294" t="s">
        <v>274</v>
      </c>
      <c r="D294">
        <v>25849</v>
      </c>
      <c r="E294">
        <v>2035.8</v>
      </c>
    </row>
    <row r="295" spans="1:5" x14ac:dyDescent="0.25">
      <c r="A295" t="s">
        <v>237</v>
      </c>
      <c r="B295" t="str">
        <f>VLOOKUP(Counties_by_State_Code[[#This Row],[State_Code]],Territory_by_Code[],2)</f>
        <v>Colorado</v>
      </c>
      <c r="C295" t="s">
        <v>275</v>
      </c>
      <c r="D295">
        <v>42679</v>
      </c>
      <c r="E295">
        <v>2246.4299999999998</v>
      </c>
    </row>
    <row r="296" spans="1:5" x14ac:dyDescent="0.25">
      <c r="A296" t="s">
        <v>237</v>
      </c>
      <c r="B296" t="str">
        <f>VLOOKUP(Counties_by_State_Code[[#This Row],[State_Code]],Territory_by_Code[],2)</f>
        <v>Colorado</v>
      </c>
      <c r="C296" t="s">
        <v>52</v>
      </c>
      <c r="D296">
        <v>29111</v>
      </c>
      <c r="E296">
        <v>1293.83</v>
      </c>
    </row>
    <row r="297" spans="1:5" x14ac:dyDescent="0.25">
      <c r="A297" t="s">
        <v>237</v>
      </c>
      <c r="B297" t="str">
        <f>VLOOKUP(Counties_by_State_Code[[#This Row],[State_Code]],Territory_by_Code[],2)</f>
        <v>Colorado</v>
      </c>
      <c r="C297" t="s">
        <v>276</v>
      </c>
      <c r="D297">
        <v>18690</v>
      </c>
      <c r="E297">
        <v>1267.6600000000001</v>
      </c>
    </row>
    <row r="298" spans="1:5" x14ac:dyDescent="0.25">
      <c r="A298" t="s">
        <v>237</v>
      </c>
      <c r="B298" t="str">
        <f>VLOOKUP(Counties_by_State_Code[[#This Row],[State_Code]],Territory_by_Code[],2)</f>
        <v>Colorado</v>
      </c>
      <c r="C298" t="s">
        <v>277</v>
      </c>
      <c r="D298">
        <v>4874</v>
      </c>
      <c r="E298">
        <v>542.29999999999995</v>
      </c>
    </row>
    <row r="299" spans="1:5" x14ac:dyDescent="0.25">
      <c r="A299" t="s">
        <v>237</v>
      </c>
      <c r="B299" t="str">
        <f>VLOOKUP(Counties_by_State_Code[[#This Row],[State_Code]],Territory_by_Code[],2)</f>
        <v>Colorado</v>
      </c>
      <c r="C299" t="s">
        <v>278</v>
      </c>
      <c r="D299">
        <v>17390</v>
      </c>
      <c r="E299">
        <v>2209.36</v>
      </c>
    </row>
    <row r="300" spans="1:5" x14ac:dyDescent="0.25">
      <c r="A300" t="s">
        <v>237</v>
      </c>
      <c r="B300" t="str">
        <f>VLOOKUP(Counties_by_State_Code[[#This Row],[State_Code]],Territory_by_Code[],2)</f>
        <v>Colorado</v>
      </c>
      <c r="C300" t="s">
        <v>160</v>
      </c>
      <c r="D300">
        <v>4530</v>
      </c>
      <c r="E300">
        <v>668.3</v>
      </c>
    </row>
    <row r="301" spans="1:5" x14ac:dyDescent="0.25">
      <c r="A301" t="s">
        <v>237</v>
      </c>
      <c r="B301" t="str">
        <f>VLOOKUP(Counties_by_State_Code[[#This Row],[State_Code]],Territory_by_Code[],2)</f>
        <v>Colorado</v>
      </c>
      <c r="C301" t="s">
        <v>279</v>
      </c>
      <c r="D301">
        <v>17358</v>
      </c>
      <c r="E301">
        <v>970.37</v>
      </c>
    </row>
    <row r="302" spans="1:5" x14ac:dyDescent="0.25">
      <c r="A302" t="s">
        <v>237</v>
      </c>
      <c r="B302" t="str">
        <f>VLOOKUP(Counties_by_State_Code[[#This Row],[State_Code]],Territory_by_Code[],2)</f>
        <v>Colorado</v>
      </c>
      <c r="C302" t="s">
        <v>280</v>
      </c>
      <c r="D302">
        <v>11999</v>
      </c>
      <c r="E302">
        <v>1645.37</v>
      </c>
    </row>
    <row r="303" spans="1:5" x14ac:dyDescent="0.25">
      <c r="A303" t="s">
        <v>237</v>
      </c>
      <c r="B303" t="str">
        <f>VLOOKUP(Counties_by_State_Code[[#This Row],[State_Code]],Territory_by_Code[],2)</f>
        <v>Colorado</v>
      </c>
      <c r="C303" t="s">
        <v>281</v>
      </c>
      <c r="D303">
        <v>168162</v>
      </c>
      <c r="E303">
        <v>2396.77</v>
      </c>
    </row>
    <row r="304" spans="1:5" x14ac:dyDescent="0.25">
      <c r="A304" t="s">
        <v>237</v>
      </c>
      <c r="B304" t="str">
        <f>VLOOKUP(Counties_by_State_Code[[#This Row],[State_Code]],Territory_by_Code[],2)</f>
        <v>Colorado</v>
      </c>
      <c r="C304" t="s">
        <v>282</v>
      </c>
      <c r="D304">
        <v>6529</v>
      </c>
      <c r="E304">
        <v>3226.24</v>
      </c>
    </row>
    <row r="305" spans="1:5" x14ac:dyDescent="0.25">
      <c r="A305" t="s">
        <v>237</v>
      </c>
      <c r="B305" t="str">
        <f>VLOOKUP(Counties_by_State_Code[[#This Row],[State_Code]],Territory_by_Code[],2)</f>
        <v>Colorado</v>
      </c>
      <c r="C305" t="s">
        <v>283</v>
      </c>
      <c r="D305">
        <v>11539</v>
      </c>
      <c r="E305">
        <v>913.1</v>
      </c>
    </row>
    <row r="306" spans="1:5" x14ac:dyDescent="0.25">
      <c r="A306" t="s">
        <v>237</v>
      </c>
      <c r="B306" t="str">
        <f>VLOOKUP(Counties_by_State_Code[[#This Row],[State_Code]],Territory_by_Code[],2)</f>
        <v>Colorado</v>
      </c>
      <c r="C306" t="s">
        <v>284</v>
      </c>
      <c r="D306">
        <v>24829</v>
      </c>
      <c r="E306">
        <v>2362.11</v>
      </c>
    </row>
    <row r="307" spans="1:5" x14ac:dyDescent="0.25">
      <c r="A307" t="s">
        <v>237</v>
      </c>
      <c r="B307" t="str">
        <f>VLOOKUP(Counties_by_State_Code[[#This Row],[State_Code]],Territory_by_Code[],2)</f>
        <v>Colorado</v>
      </c>
      <c r="C307" t="s">
        <v>285</v>
      </c>
      <c r="D307">
        <v>6368</v>
      </c>
      <c r="E307">
        <v>3168.32</v>
      </c>
    </row>
    <row r="308" spans="1:5" x14ac:dyDescent="0.25">
      <c r="A308" t="s">
        <v>237</v>
      </c>
      <c r="B308" t="str">
        <f>VLOOKUP(Counties_by_State_Code[[#This Row],[State_Code]],Territory_by_Code[],2)</f>
        <v>Colorado</v>
      </c>
      <c r="C308" t="s">
        <v>286</v>
      </c>
      <c r="D308">
        <v>705</v>
      </c>
      <c r="E308">
        <v>388.99</v>
      </c>
    </row>
    <row r="309" spans="1:5" x14ac:dyDescent="0.25">
      <c r="A309" t="s">
        <v>237</v>
      </c>
      <c r="B309" t="str">
        <f>VLOOKUP(Counties_by_State_Code[[#This Row],[State_Code]],Territory_by_Code[],2)</f>
        <v>Colorado</v>
      </c>
      <c r="C309" t="s">
        <v>287</v>
      </c>
      <c r="D309">
        <v>8072</v>
      </c>
      <c r="E309">
        <v>1290.76</v>
      </c>
    </row>
    <row r="310" spans="1:5" x14ac:dyDescent="0.25">
      <c r="A310" t="s">
        <v>237</v>
      </c>
      <c r="B310" t="str">
        <f>VLOOKUP(Counties_by_State_Code[[#This Row],[State_Code]],Territory_by_Code[],2)</f>
        <v>Colorado</v>
      </c>
      <c r="C310" t="s">
        <v>288</v>
      </c>
      <c r="D310">
        <v>2404</v>
      </c>
      <c r="E310">
        <v>548.83000000000004</v>
      </c>
    </row>
    <row r="311" spans="1:5" x14ac:dyDescent="0.25">
      <c r="A311" t="s">
        <v>237</v>
      </c>
      <c r="B311" t="str">
        <f>VLOOKUP(Counties_by_State_Code[[#This Row],[State_Code]],Territory_by_Code[],2)</f>
        <v>Colorado</v>
      </c>
      <c r="C311" t="s">
        <v>289</v>
      </c>
      <c r="D311">
        <v>31055</v>
      </c>
      <c r="E311">
        <v>618.91999999999996</v>
      </c>
    </row>
    <row r="312" spans="1:5" x14ac:dyDescent="0.25">
      <c r="A312" t="s">
        <v>237</v>
      </c>
      <c r="B312" t="str">
        <f>VLOOKUP(Counties_by_State_Code[[#This Row],[State_Code]],Territory_by_Code[],2)</f>
        <v>Colorado</v>
      </c>
      <c r="C312" t="s">
        <v>290</v>
      </c>
      <c r="D312">
        <v>24710</v>
      </c>
      <c r="E312">
        <v>558.58000000000004</v>
      </c>
    </row>
    <row r="313" spans="1:5" x14ac:dyDescent="0.25">
      <c r="A313" t="s">
        <v>237</v>
      </c>
      <c r="B313" t="str">
        <f>VLOOKUP(Counties_by_State_Code[[#This Row],[State_Code]],Territory_by_Code[],2)</f>
        <v>Colorado</v>
      </c>
      <c r="C313" t="s">
        <v>65</v>
      </c>
      <c r="D313">
        <v>4817</v>
      </c>
      <c r="E313">
        <v>2522.9</v>
      </c>
    </row>
    <row r="314" spans="1:5" x14ac:dyDescent="0.25">
      <c r="A314" t="s">
        <v>237</v>
      </c>
      <c r="B314" t="str">
        <f>VLOOKUP(Counties_by_State_Code[[#This Row],[State_Code]],Territory_by_Code[],2)</f>
        <v>Colorado</v>
      </c>
      <c r="C314" t="s">
        <v>291</v>
      </c>
      <c r="D314">
        <v>328981</v>
      </c>
      <c r="E314">
        <v>4013.84</v>
      </c>
    </row>
    <row r="315" spans="1:5" x14ac:dyDescent="0.25">
      <c r="A315" t="s">
        <v>237</v>
      </c>
      <c r="B315" t="str">
        <f>VLOOKUP(Counties_by_State_Code[[#This Row],[State_Code]],Territory_by_Code[],2)</f>
        <v>Colorado</v>
      </c>
      <c r="C315" t="s">
        <v>120</v>
      </c>
      <c r="D315">
        <v>9988</v>
      </c>
      <c r="E315">
        <v>2369.61</v>
      </c>
    </row>
    <row r="316" spans="1:5" x14ac:dyDescent="0.25">
      <c r="A316" t="s">
        <v>293</v>
      </c>
      <c r="B316" t="str">
        <f>VLOOKUP(Counties_by_State_Code[[#This Row],[State_Code]],Territory_by_Code[],2)</f>
        <v>Connecticut</v>
      </c>
      <c r="C316" t="s">
        <v>292</v>
      </c>
      <c r="D316">
        <v>976248</v>
      </c>
      <c r="E316">
        <v>1046.08</v>
      </c>
    </row>
    <row r="317" spans="1:5" x14ac:dyDescent="0.25">
      <c r="A317" t="s">
        <v>293</v>
      </c>
      <c r="B317" t="str">
        <f>VLOOKUP(Counties_by_State_Code[[#This Row],[State_Code]],Territory_by_Code[],2)</f>
        <v>Connecticut</v>
      </c>
      <c r="C317" t="s">
        <v>294</v>
      </c>
      <c r="D317">
        <v>959768</v>
      </c>
      <c r="E317">
        <v>837.21</v>
      </c>
    </row>
    <row r="318" spans="1:5" x14ac:dyDescent="0.25">
      <c r="A318" t="s">
        <v>293</v>
      </c>
      <c r="B318" t="str">
        <f>VLOOKUP(Counties_by_State_Code[[#This Row],[State_Code]],Territory_by_Code[],2)</f>
        <v>Connecticut</v>
      </c>
      <c r="C318" t="s">
        <v>295</v>
      </c>
      <c r="D318">
        <v>325778</v>
      </c>
      <c r="E318">
        <v>149.08000000000001</v>
      </c>
    </row>
    <row r="319" spans="1:5" x14ac:dyDescent="0.25">
      <c r="A319" t="s">
        <v>293</v>
      </c>
      <c r="B319" t="str">
        <f>VLOOKUP(Counties_by_State_Code[[#This Row],[State_Code]],Territory_by_Code[],2)</f>
        <v>Connecticut</v>
      </c>
      <c r="C319" t="s">
        <v>296</v>
      </c>
      <c r="D319">
        <v>899498</v>
      </c>
      <c r="E319">
        <v>750.19</v>
      </c>
    </row>
    <row r="320" spans="1:5" x14ac:dyDescent="0.25">
      <c r="A320" t="s">
        <v>293</v>
      </c>
      <c r="B320" t="str">
        <f>VLOOKUP(Counties_by_State_Code[[#This Row],[State_Code]],Territory_by_Code[],2)</f>
        <v>Connecticut</v>
      </c>
      <c r="C320" t="s">
        <v>297</v>
      </c>
      <c r="D320">
        <v>185186</v>
      </c>
      <c r="E320">
        <v>945.24</v>
      </c>
    </row>
    <row r="321" spans="1:5" x14ac:dyDescent="0.25">
      <c r="A321" t="s">
        <v>293</v>
      </c>
      <c r="B321" t="str">
        <f>VLOOKUP(Counties_by_State_Code[[#This Row],[State_Code]],Territory_by_Code[],2)</f>
        <v>Connecticut</v>
      </c>
      <c r="C321" t="s">
        <v>298</v>
      </c>
      <c r="D321">
        <v>174225</v>
      </c>
      <c r="E321">
        <v>461.57</v>
      </c>
    </row>
    <row r="322" spans="1:5" x14ac:dyDescent="0.25">
      <c r="A322" t="s">
        <v>293</v>
      </c>
      <c r="B322" t="str">
        <f>VLOOKUP(Counties_by_State_Code[[#This Row],[State_Code]],Territory_by_Code[],2)</f>
        <v>Connecticut</v>
      </c>
      <c r="C322" t="s">
        <v>299</v>
      </c>
      <c r="D322">
        <v>164245</v>
      </c>
      <c r="E322">
        <v>439.11</v>
      </c>
    </row>
    <row r="323" spans="1:5" x14ac:dyDescent="0.25">
      <c r="A323" t="s">
        <v>293</v>
      </c>
      <c r="B323" t="str">
        <f>VLOOKUP(Counties_by_State_Code[[#This Row],[State_Code]],Territory_by_Code[],2)</f>
        <v>Connecticut</v>
      </c>
      <c r="C323" t="s">
        <v>300</v>
      </c>
      <c r="D323">
        <v>450376</v>
      </c>
      <c r="E323">
        <v>421.84</v>
      </c>
    </row>
    <row r="324" spans="1:5" x14ac:dyDescent="0.25">
      <c r="A324" t="s">
        <v>293</v>
      </c>
      <c r="B324" t="str">
        <f>VLOOKUP(Counties_by_State_Code[[#This Row],[State_Code]],Territory_by_Code[],2)</f>
        <v>Connecticut</v>
      </c>
      <c r="C324" t="s">
        <v>301</v>
      </c>
      <c r="D324">
        <v>864835</v>
      </c>
      <c r="E324">
        <v>862.22</v>
      </c>
    </row>
    <row r="325" spans="1:5" x14ac:dyDescent="0.25">
      <c r="A325" t="s">
        <v>293</v>
      </c>
      <c r="B325" t="str">
        <f>VLOOKUP(Counties_by_State_Code[[#This Row],[State_Code]],Territory_by_Code[],2)</f>
        <v>Connecticut</v>
      </c>
      <c r="C325" t="s">
        <v>302</v>
      </c>
      <c r="D325">
        <v>268555</v>
      </c>
      <c r="E325">
        <v>772.2</v>
      </c>
    </row>
    <row r="326" spans="1:5" x14ac:dyDescent="0.25">
      <c r="A326" t="s">
        <v>293</v>
      </c>
      <c r="B326" t="str">
        <f>VLOOKUP(Counties_by_State_Code[[#This Row],[State_Code]],Territory_by_Code[],2)</f>
        <v>Connecticut</v>
      </c>
      <c r="C326" t="s">
        <v>303</v>
      </c>
      <c r="D326">
        <v>95348</v>
      </c>
      <c r="E326">
        <v>563.20000000000005</v>
      </c>
    </row>
    <row r="327" spans="1:5" x14ac:dyDescent="0.25">
      <c r="A327" t="s">
        <v>293</v>
      </c>
      <c r="B327" t="str">
        <f>VLOOKUP(Counties_by_State_Code[[#This Row],[State_Code]],Territory_by_Code[],2)</f>
        <v>Connecticut</v>
      </c>
      <c r="C327" t="s">
        <v>304</v>
      </c>
      <c r="D327">
        <v>112503</v>
      </c>
      <c r="E327">
        <v>808.27</v>
      </c>
    </row>
    <row r="328" spans="1:5" x14ac:dyDescent="0.25">
      <c r="A328" t="s">
        <v>293</v>
      </c>
      <c r="B328" t="str">
        <f>VLOOKUP(Counties_by_State_Code[[#This Row],[State_Code]],Territory_by_Code[],2)</f>
        <v>Connecticut</v>
      </c>
      <c r="C328" t="s">
        <v>305</v>
      </c>
      <c r="D328">
        <v>570487</v>
      </c>
      <c r="E328">
        <v>387.04</v>
      </c>
    </row>
    <row r="329" spans="1:5" x14ac:dyDescent="0.25">
      <c r="A329" t="s">
        <v>293</v>
      </c>
      <c r="B329" t="str">
        <f>VLOOKUP(Counties_by_State_Code[[#This Row],[State_Code]],Territory_by_Code[],2)</f>
        <v>Connecticut</v>
      </c>
      <c r="C329" t="s">
        <v>306</v>
      </c>
      <c r="D329">
        <v>280430</v>
      </c>
      <c r="E329">
        <v>662.64</v>
      </c>
    </row>
    <row r="330" spans="1:5" x14ac:dyDescent="0.25">
      <c r="A330" t="s">
        <v>293</v>
      </c>
      <c r="B330" t="str">
        <f>VLOOKUP(Counties_by_State_Code[[#This Row],[State_Code]],Territory_by_Code[],2)</f>
        <v>Connecticut</v>
      </c>
      <c r="C330" t="s">
        <v>307</v>
      </c>
      <c r="D330">
        <v>149788</v>
      </c>
      <c r="E330">
        <v>417.1</v>
      </c>
    </row>
    <row r="331" spans="1:5" x14ac:dyDescent="0.25">
      <c r="A331" t="s">
        <v>293</v>
      </c>
      <c r="B331" t="str">
        <f>VLOOKUP(Counties_by_State_Code[[#This Row],[State_Code]],Territory_by_Code[],2)</f>
        <v>Connecticut</v>
      </c>
      <c r="C331" t="s">
        <v>308</v>
      </c>
      <c r="D331">
        <v>620549</v>
      </c>
      <c r="E331">
        <v>618.71</v>
      </c>
    </row>
    <row r="332" spans="1:5" x14ac:dyDescent="0.25">
      <c r="A332" t="s">
        <v>293</v>
      </c>
      <c r="B332" t="str">
        <f>VLOOKUP(Counties_by_State_Code[[#This Row],[State_Code]],Territory_by_Code[],2)</f>
        <v>Connecticut</v>
      </c>
      <c r="C332" t="s">
        <v>309</v>
      </c>
      <c r="D332">
        <v>116418</v>
      </c>
      <c r="E332">
        <v>521.13</v>
      </c>
    </row>
    <row r="333" spans="1:5" x14ac:dyDescent="0.25">
      <c r="A333" t="s">
        <v>311</v>
      </c>
      <c r="B333" t="str">
        <f>VLOOKUP(Counties_by_State_Code[[#This Row],[State_Code]],Territory_by_Code[],2)</f>
        <v>Delaware</v>
      </c>
      <c r="C333" t="s">
        <v>310</v>
      </c>
      <c r="D333">
        <v>181851</v>
      </c>
      <c r="E333">
        <v>800</v>
      </c>
    </row>
    <row r="334" spans="1:5" x14ac:dyDescent="0.25">
      <c r="A334" t="s">
        <v>311</v>
      </c>
      <c r="B334" t="str">
        <f>VLOOKUP(Counties_by_State_Code[[#This Row],[State_Code]],Territory_by_Code[],2)</f>
        <v>Delaware</v>
      </c>
      <c r="C334" t="s">
        <v>312</v>
      </c>
      <c r="D334">
        <v>570719</v>
      </c>
      <c r="E334">
        <v>494</v>
      </c>
    </row>
    <row r="335" spans="1:5" x14ac:dyDescent="0.25">
      <c r="A335" t="s">
        <v>311</v>
      </c>
      <c r="B335" t="str">
        <f>VLOOKUP(Counties_by_State_Code[[#This Row],[State_Code]],Territory_by_Code[],2)</f>
        <v>Delaware</v>
      </c>
      <c r="C335" t="s">
        <v>313</v>
      </c>
      <c r="D335">
        <v>237378</v>
      </c>
      <c r="E335">
        <v>1196</v>
      </c>
    </row>
    <row r="336" spans="1:5" x14ac:dyDescent="0.25">
      <c r="A336" t="s">
        <v>315</v>
      </c>
      <c r="B336" t="str">
        <f>VLOOKUP(Counties_by_State_Code[[#This Row],[State_Code]],Territory_by_Code[],2)</f>
        <v>District of Columbia</v>
      </c>
      <c r="C336" t="s">
        <v>314</v>
      </c>
      <c r="D336">
        <v>689545</v>
      </c>
      <c r="E336">
        <v>68.34</v>
      </c>
    </row>
    <row r="337" spans="1:5" x14ac:dyDescent="0.25">
      <c r="A337" t="s">
        <v>317</v>
      </c>
      <c r="B337" t="str">
        <f>VLOOKUP(Counties_by_State_Code[[#This Row],[State_Code]],Territory_by_Code[],2)</f>
        <v>Florida</v>
      </c>
      <c r="C337" t="s">
        <v>316</v>
      </c>
      <c r="D337">
        <v>278468</v>
      </c>
      <c r="E337">
        <v>874</v>
      </c>
    </row>
    <row r="338" spans="1:5" x14ac:dyDescent="0.25">
      <c r="A338" t="s">
        <v>317</v>
      </c>
      <c r="B338" t="str">
        <f>VLOOKUP(Counties_by_State_Code[[#This Row],[State_Code]],Territory_by_Code[],2)</f>
        <v>Florida</v>
      </c>
      <c r="C338" t="s">
        <v>318</v>
      </c>
      <c r="D338">
        <v>28259</v>
      </c>
      <c r="E338">
        <v>585</v>
      </c>
    </row>
    <row r="339" spans="1:5" x14ac:dyDescent="0.25">
      <c r="A339" t="s">
        <v>317</v>
      </c>
      <c r="B339" t="str">
        <f>VLOOKUP(Counties_by_State_Code[[#This Row],[State_Code]],Territory_by_Code[],2)</f>
        <v>Florida</v>
      </c>
      <c r="C339" t="s">
        <v>319</v>
      </c>
      <c r="D339">
        <v>175216</v>
      </c>
      <c r="E339">
        <v>764</v>
      </c>
    </row>
    <row r="340" spans="1:5" x14ac:dyDescent="0.25">
      <c r="A340" t="s">
        <v>317</v>
      </c>
      <c r="B340" t="str">
        <f>VLOOKUP(Counties_by_State_Code[[#This Row],[State_Code]],Territory_by_Code[],2)</f>
        <v>Florida</v>
      </c>
      <c r="C340" t="s">
        <v>320</v>
      </c>
      <c r="D340">
        <v>28303</v>
      </c>
      <c r="E340">
        <v>293</v>
      </c>
    </row>
    <row r="341" spans="1:5" x14ac:dyDescent="0.25">
      <c r="A341" t="s">
        <v>317</v>
      </c>
      <c r="B341" t="str">
        <f>VLOOKUP(Counties_by_State_Code[[#This Row],[State_Code]],Territory_by_Code[],2)</f>
        <v>Florida</v>
      </c>
      <c r="C341" t="s">
        <v>321</v>
      </c>
      <c r="D341">
        <v>606612</v>
      </c>
      <c r="E341">
        <v>1018</v>
      </c>
    </row>
    <row r="342" spans="1:5" x14ac:dyDescent="0.25">
      <c r="A342" t="s">
        <v>317</v>
      </c>
      <c r="B342" t="str">
        <f>VLOOKUP(Counties_by_State_Code[[#This Row],[State_Code]],Territory_by_Code[],2)</f>
        <v>Florida</v>
      </c>
      <c r="C342" t="s">
        <v>322</v>
      </c>
      <c r="D342">
        <v>1944375</v>
      </c>
      <c r="E342">
        <v>1209</v>
      </c>
    </row>
    <row r="343" spans="1:5" x14ac:dyDescent="0.25">
      <c r="A343" t="s">
        <v>317</v>
      </c>
      <c r="B343" t="str">
        <f>VLOOKUP(Counties_by_State_Code[[#This Row],[State_Code]],Territory_by_Code[],2)</f>
        <v>Florida</v>
      </c>
      <c r="C343" t="s">
        <v>8</v>
      </c>
      <c r="D343">
        <v>13648</v>
      </c>
      <c r="E343">
        <v>567</v>
      </c>
    </row>
    <row r="344" spans="1:5" x14ac:dyDescent="0.25">
      <c r="A344" t="s">
        <v>317</v>
      </c>
      <c r="B344" t="str">
        <f>VLOOKUP(Counties_by_State_Code[[#This Row],[State_Code]],Territory_by_Code[],2)</f>
        <v>Florida</v>
      </c>
      <c r="C344" t="s">
        <v>323</v>
      </c>
      <c r="D344">
        <v>186847</v>
      </c>
      <c r="E344">
        <v>694</v>
      </c>
    </row>
    <row r="345" spans="1:5" x14ac:dyDescent="0.25">
      <c r="A345" t="s">
        <v>317</v>
      </c>
      <c r="B345" t="str">
        <f>VLOOKUP(Counties_by_State_Code[[#This Row],[State_Code]],Territory_by_Code[],2)</f>
        <v>Florida</v>
      </c>
      <c r="C345" t="s">
        <v>324</v>
      </c>
      <c r="D345">
        <v>153843</v>
      </c>
      <c r="E345">
        <v>584</v>
      </c>
    </row>
    <row r="346" spans="1:5" x14ac:dyDescent="0.25">
      <c r="A346" t="s">
        <v>317</v>
      </c>
      <c r="B346" t="str">
        <f>VLOOKUP(Counties_by_State_Code[[#This Row],[State_Code]],Territory_by_Code[],2)</f>
        <v>Florida</v>
      </c>
      <c r="C346" t="s">
        <v>14</v>
      </c>
      <c r="D346">
        <v>218245</v>
      </c>
      <c r="E346">
        <v>601</v>
      </c>
    </row>
    <row r="347" spans="1:5" x14ac:dyDescent="0.25">
      <c r="A347" t="s">
        <v>317</v>
      </c>
      <c r="B347" t="str">
        <f>VLOOKUP(Counties_by_State_Code[[#This Row],[State_Code]],Territory_by_Code[],2)</f>
        <v>Florida</v>
      </c>
      <c r="C347" t="s">
        <v>325</v>
      </c>
      <c r="D347">
        <v>375752</v>
      </c>
      <c r="E347">
        <v>2026</v>
      </c>
    </row>
    <row r="348" spans="1:5" x14ac:dyDescent="0.25">
      <c r="A348" t="s">
        <v>317</v>
      </c>
      <c r="B348" t="str">
        <f>VLOOKUP(Counties_by_State_Code[[#This Row],[State_Code]],Territory_by_Code[],2)</f>
        <v>Florida</v>
      </c>
      <c r="C348" t="s">
        <v>132</v>
      </c>
      <c r="D348">
        <v>69698</v>
      </c>
      <c r="E348">
        <v>797</v>
      </c>
    </row>
    <row r="349" spans="1:5" x14ac:dyDescent="0.25">
      <c r="A349" t="s">
        <v>317</v>
      </c>
      <c r="B349" t="str">
        <f>VLOOKUP(Counties_by_State_Code[[#This Row],[State_Code]],Territory_by_Code[],2)</f>
        <v>Florida</v>
      </c>
      <c r="C349" t="s">
        <v>326</v>
      </c>
      <c r="D349">
        <v>33976</v>
      </c>
      <c r="E349">
        <v>637</v>
      </c>
    </row>
    <row r="350" spans="1:5" x14ac:dyDescent="0.25">
      <c r="A350" t="s">
        <v>317</v>
      </c>
      <c r="B350" t="str">
        <f>VLOOKUP(Counties_by_State_Code[[#This Row],[State_Code]],Territory_by_Code[],2)</f>
        <v>Florida</v>
      </c>
      <c r="C350" t="s">
        <v>327</v>
      </c>
      <c r="D350">
        <v>16759</v>
      </c>
      <c r="E350">
        <v>704</v>
      </c>
    </row>
    <row r="351" spans="1:5" x14ac:dyDescent="0.25">
      <c r="A351" t="s">
        <v>317</v>
      </c>
      <c r="B351" t="str">
        <f>VLOOKUP(Counties_by_State_Code[[#This Row],[State_Code]],Territory_by_Code[],2)</f>
        <v>Florida</v>
      </c>
      <c r="C351" t="s">
        <v>328</v>
      </c>
      <c r="D351">
        <v>995567</v>
      </c>
      <c r="E351">
        <v>774</v>
      </c>
    </row>
    <row r="352" spans="1:5" x14ac:dyDescent="0.25">
      <c r="A352" t="s">
        <v>317</v>
      </c>
      <c r="B352" t="str">
        <f>VLOOKUP(Counties_by_State_Code[[#This Row],[State_Code]],Territory_by_Code[],2)</f>
        <v>Florida</v>
      </c>
      <c r="C352" t="s">
        <v>27</v>
      </c>
      <c r="D352">
        <v>321905</v>
      </c>
      <c r="E352">
        <v>664</v>
      </c>
    </row>
    <row r="353" spans="1:5" x14ac:dyDescent="0.25">
      <c r="A353" t="s">
        <v>317</v>
      </c>
      <c r="B353" t="str">
        <f>VLOOKUP(Counties_by_State_Code[[#This Row],[State_Code]],Territory_by_Code[],2)</f>
        <v>Florida</v>
      </c>
      <c r="C353" t="s">
        <v>329</v>
      </c>
      <c r="D353">
        <v>115378</v>
      </c>
      <c r="E353">
        <v>485</v>
      </c>
    </row>
    <row r="354" spans="1:5" x14ac:dyDescent="0.25">
      <c r="A354" t="s">
        <v>317</v>
      </c>
      <c r="B354" t="str">
        <f>VLOOKUP(Counties_by_State_Code[[#This Row],[State_Code]],Territory_by_Code[],2)</f>
        <v>Florida</v>
      </c>
      <c r="C354" t="s">
        <v>30</v>
      </c>
      <c r="D354">
        <v>12451</v>
      </c>
      <c r="E354">
        <v>534</v>
      </c>
    </row>
    <row r="355" spans="1:5" x14ac:dyDescent="0.25">
      <c r="A355" t="s">
        <v>317</v>
      </c>
      <c r="B355" t="str">
        <f>VLOOKUP(Counties_by_State_Code[[#This Row],[State_Code]],Territory_by_Code[],2)</f>
        <v>Florida</v>
      </c>
      <c r="C355" t="s">
        <v>330</v>
      </c>
      <c r="D355">
        <v>43826</v>
      </c>
      <c r="E355">
        <v>516</v>
      </c>
    </row>
    <row r="356" spans="1:5" x14ac:dyDescent="0.25">
      <c r="A356" t="s">
        <v>317</v>
      </c>
      <c r="B356" t="str">
        <f>VLOOKUP(Counties_by_State_Code[[#This Row],[State_Code]],Territory_by_Code[],2)</f>
        <v>Florida</v>
      </c>
      <c r="C356" t="s">
        <v>331</v>
      </c>
      <c r="D356">
        <v>17864</v>
      </c>
      <c r="E356">
        <v>349</v>
      </c>
    </row>
    <row r="357" spans="1:5" x14ac:dyDescent="0.25">
      <c r="A357" t="s">
        <v>317</v>
      </c>
      <c r="B357" t="str">
        <f>VLOOKUP(Counties_by_State_Code[[#This Row],[State_Code]],Territory_by_Code[],2)</f>
        <v>Florida</v>
      </c>
      <c r="C357" t="s">
        <v>332</v>
      </c>
      <c r="D357">
        <v>12126</v>
      </c>
      <c r="E357">
        <v>774</v>
      </c>
    </row>
    <row r="358" spans="1:5" x14ac:dyDescent="0.25">
      <c r="A358" t="s">
        <v>317</v>
      </c>
      <c r="B358" t="str">
        <f>VLOOKUP(Counties_by_State_Code[[#This Row],[State_Code]],Territory_by_Code[],2)</f>
        <v>Florida</v>
      </c>
      <c r="C358" t="s">
        <v>333</v>
      </c>
      <c r="D358">
        <v>14192</v>
      </c>
      <c r="E358">
        <v>565</v>
      </c>
    </row>
    <row r="359" spans="1:5" x14ac:dyDescent="0.25">
      <c r="A359" t="s">
        <v>317</v>
      </c>
      <c r="B359" t="str">
        <f>VLOOKUP(Counties_by_State_Code[[#This Row],[State_Code]],Territory_by_Code[],2)</f>
        <v>Florida</v>
      </c>
      <c r="C359" t="s">
        <v>334</v>
      </c>
      <c r="D359">
        <v>14004</v>
      </c>
      <c r="E359">
        <v>515</v>
      </c>
    </row>
    <row r="360" spans="1:5" x14ac:dyDescent="0.25">
      <c r="A360" t="s">
        <v>317</v>
      </c>
      <c r="B360" t="str">
        <f>VLOOKUP(Counties_by_State_Code[[#This Row],[State_Code]],Territory_by_Code[],2)</f>
        <v>Florida</v>
      </c>
      <c r="C360" t="s">
        <v>335</v>
      </c>
      <c r="D360">
        <v>25327</v>
      </c>
      <c r="E360">
        <v>637</v>
      </c>
    </row>
    <row r="361" spans="1:5" x14ac:dyDescent="0.25">
      <c r="A361" t="s">
        <v>317</v>
      </c>
      <c r="B361" t="str">
        <f>VLOOKUP(Counties_by_State_Code[[#This Row],[State_Code]],Territory_by_Code[],2)</f>
        <v>Florida</v>
      </c>
      <c r="C361" t="s">
        <v>336</v>
      </c>
      <c r="D361">
        <v>39619</v>
      </c>
      <c r="E361">
        <v>1153</v>
      </c>
    </row>
    <row r="362" spans="1:5" x14ac:dyDescent="0.25">
      <c r="A362" t="s">
        <v>317</v>
      </c>
      <c r="B362" t="str">
        <f>VLOOKUP(Counties_by_State_Code[[#This Row],[State_Code]],Territory_by_Code[],2)</f>
        <v>Florida</v>
      </c>
      <c r="C362" t="s">
        <v>337</v>
      </c>
      <c r="D362">
        <v>194515</v>
      </c>
      <c r="E362">
        <v>478</v>
      </c>
    </row>
    <row r="363" spans="1:5" x14ac:dyDescent="0.25">
      <c r="A363" t="s">
        <v>317</v>
      </c>
      <c r="B363" t="str">
        <f>VLOOKUP(Counties_by_State_Code[[#This Row],[State_Code]],Territory_by_Code[],2)</f>
        <v>Florida</v>
      </c>
      <c r="C363" t="s">
        <v>338</v>
      </c>
      <c r="D363">
        <v>101235</v>
      </c>
      <c r="E363">
        <v>1028</v>
      </c>
    </row>
    <row r="364" spans="1:5" x14ac:dyDescent="0.25">
      <c r="A364" t="s">
        <v>317</v>
      </c>
      <c r="B364" t="str">
        <f>VLOOKUP(Counties_by_State_Code[[#This Row],[State_Code]],Territory_by_Code[],2)</f>
        <v>Florida</v>
      </c>
      <c r="C364" t="s">
        <v>339</v>
      </c>
      <c r="D364">
        <v>1459762</v>
      </c>
      <c r="E364">
        <v>1051</v>
      </c>
    </row>
    <row r="365" spans="1:5" x14ac:dyDescent="0.25">
      <c r="A365" t="s">
        <v>317</v>
      </c>
      <c r="B365" t="str">
        <f>VLOOKUP(Counties_by_State_Code[[#This Row],[State_Code]],Territory_by_Code[],2)</f>
        <v>Florida</v>
      </c>
      <c r="C365" t="s">
        <v>340</v>
      </c>
      <c r="D365">
        <v>19653</v>
      </c>
      <c r="E365">
        <v>482</v>
      </c>
    </row>
    <row r="366" spans="1:5" x14ac:dyDescent="0.25">
      <c r="A366" t="s">
        <v>317</v>
      </c>
      <c r="B366" t="str">
        <f>VLOOKUP(Counties_by_State_Code[[#This Row],[State_Code]],Territory_by_Code[],2)</f>
        <v>Florida</v>
      </c>
      <c r="C366" t="s">
        <v>341</v>
      </c>
      <c r="D366">
        <v>159788</v>
      </c>
      <c r="E366">
        <v>503</v>
      </c>
    </row>
    <row r="367" spans="1:5" x14ac:dyDescent="0.25">
      <c r="A367" t="s">
        <v>317</v>
      </c>
      <c r="B367" t="str">
        <f>VLOOKUP(Counties_by_State_Code[[#This Row],[State_Code]],Territory_by_Code[],2)</f>
        <v>Florida</v>
      </c>
      <c r="C367" t="s">
        <v>36</v>
      </c>
      <c r="D367">
        <v>47319</v>
      </c>
      <c r="E367">
        <v>916</v>
      </c>
    </row>
    <row r="368" spans="1:5" x14ac:dyDescent="0.25">
      <c r="A368" t="s">
        <v>317</v>
      </c>
      <c r="B368" t="str">
        <f>VLOOKUP(Counties_by_State_Code[[#This Row],[State_Code]],Territory_by_Code[],2)</f>
        <v>Florida</v>
      </c>
      <c r="C368" t="s">
        <v>37</v>
      </c>
      <c r="D368">
        <v>14510</v>
      </c>
      <c r="E368">
        <v>598</v>
      </c>
    </row>
    <row r="369" spans="1:5" x14ac:dyDescent="0.25">
      <c r="A369" t="s">
        <v>317</v>
      </c>
      <c r="B369" t="str">
        <f>VLOOKUP(Counties_by_State_Code[[#This Row],[State_Code]],Territory_by_Code[],2)</f>
        <v>Florida</v>
      </c>
      <c r="C369" t="s">
        <v>150</v>
      </c>
      <c r="D369">
        <v>8226</v>
      </c>
      <c r="E369">
        <v>543</v>
      </c>
    </row>
    <row r="370" spans="1:5" x14ac:dyDescent="0.25">
      <c r="A370" t="s">
        <v>317</v>
      </c>
      <c r="B370" t="str">
        <f>VLOOKUP(Counties_by_State_Code[[#This Row],[State_Code]],Territory_by_Code[],2)</f>
        <v>Florida</v>
      </c>
      <c r="C370" t="s">
        <v>196</v>
      </c>
      <c r="D370">
        <v>383956</v>
      </c>
      <c r="E370">
        <v>953</v>
      </c>
    </row>
    <row r="371" spans="1:5" x14ac:dyDescent="0.25">
      <c r="A371" t="s">
        <v>317</v>
      </c>
      <c r="B371" t="str">
        <f>VLOOKUP(Counties_by_State_Code[[#This Row],[State_Code]],Territory_by_Code[],2)</f>
        <v>Florida</v>
      </c>
      <c r="C371" t="s">
        <v>41</v>
      </c>
      <c r="D371">
        <v>760822</v>
      </c>
      <c r="E371">
        <v>804</v>
      </c>
    </row>
    <row r="372" spans="1:5" x14ac:dyDescent="0.25">
      <c r="A372" t="s">
        <v>317</v>
      </c>
      <c r="B372" t="str">
        <f>VLOOKUP(Counties_by_State_Code[[#This Row],[State_Code]],Territory_by_Code[],2)</f>
        <v>Florida</v>
      </c>
      <c r="C372" t="s">
        <v>342</v>
      </c>
      <c r="D372">
        <v>292198</v>
      </c>
      <c r="E372">
        <v>667</v>
      </c>
    </row>
    <row r="373" spans="1:5" x14ac:dyDescent="0.25">
      <c r="A373" t="s">
        <v>317</v>
      </c>
      <c r="B373" t="str">
        <f>VLOOKUP(Counties_by_State_Code[[#This Row],[State_Code]],Territory_by_Code[],2)</f>
        <v>Florida</v>
      </c>
      <c r="C373" t="s">
        <v>343</v>
      </c>
      <c r="D373">
        <v>42915</v>
      </c>
      <c r="E373">
        <v>1118</v>
      </c>
    </row>
    <row r="374" spans="1:5" x14ac:dyDescent="0.25">
      <c r="A374" t="s">
        <v>317</v>
      </c>
      <c r="B374" t="str">
        <f>VLOOKUP(Counties_by_State_Code[[#This Row],[State_Code]],Territory_by_Code[],2)</f>
        <v>Florida</v>
      </c>
      <c r="C374" t="s">
        <v>344</v>
      </c>
      <c r="D374">
        <v>7974</v>
      </c>
      <c r="E374">
        <v>836</v>
      </c>
    </row>
    <row r="375" spans="1:5" x14ac:dyDescent="0.25">
      <c r="A375" t="s">
        <v>317</v>
      </c>
      <c r="B375" t="str">
        <f>VLOOKUP(Counties_by_State_Code[[#This Row],[State_Code]],Territory_by_Code[],2)</f>
        <v>Florida</v>
      </c>
      <c r="C375" t="s">
        <v>45</v>
      </c>
      <c r="D375">
        <v>17968</v>
      </c>
      <c r="E375">
        <v>692</v>
      </c>
    </row>
    <row r="376" spans="1:5" x14ac:dyDescent="0.25">
      <c r="A376" t="s">
        <v>317</v>
      </c>
      <c r="B376" t="str">
        <f>VLOOKUP(Counties_by_State_Code[[#This Row],[State_Code]],Territory_by_Code[],2)</f>
        <v>Florida</v>
      </c>
      <c r="C376" t="s">
        <v>345</v>
      </c>
      <c r="D376">
        <v>399710</v>
      </c>
      <c r="E376">
        <v>741</v>
      </c>
    </row>
    <row r="377" spans="1:5" x14ac:dyDescent="0.25">
      <c r="A377" t="s">
        <v>317</v>
      </c>
      <c r="B377" t="str">
        <f>VLOOKUP(Counties_by_State_Code[[#This Row],[State_Code]],Territory_by_Code[],2)</f>
        <v>Florida</v>
      </c>
      <c r="C377" t="s">
        <v>47</v>
      </c>
      <c r="D377">
        <v>375908</v>
      </c>
      <c r="E377">
        <v>1579</v>
      </c>
    </row>
    <row r="378" spans="1:5" x14ac:dyDescent="0.25">
      <c r="A378" t="s">
        <v>317</v>
      </c>
      <c r="B378" t="str">
        <f>VLOOKUP(Counties_by_State_Code[[#This Row],[State_Code]],Territory_by_Code[],2)</f>
        <v>Florida</v>
      </c>
      <c r="C378" t="s">
        <v>346</v>
      </c>
      <c r="D378">
        <v>158431</v>
      </c>
      <c r="E378">
        <v>556</v>
      </c>
    </row>
    <row r="379" spans="1:5" x14ac:dyDescent="0.25">
      <c r="A379" t="s">
        <v>317</v>
      </c>
      <c r="B379" t="str">
        <f>VLOOKUP(Counties_by_State_Code[[#This Row],[State_Code]],Territory_by_Code[],2)</f>
        <v>Florida</v>
      </c>
      <c r="C379" t="s">
        <v>347</v>
      </c>
      <c r="D379">
        <v>2701767</v>
      </c>
      <c r="E379">
        <v>1946</v>
      </c>
    </row>
    <row r="380" spans="1:5" x14ac:dyDescent="0.25">
      <c r="A380" t="s">
        <v>317</v>
      </c>
      <c r="B380" t="str">
        <f>VLOOKUP(Counties_by_State_Code[[#This Row],[State_Code]],Territory_by_Code[],2)</f>
        <v>Florida</v>
      </c>
      <c r="C380" t="s">
        <v>50</v>
      </c>
      <c r="D380">
        <v>82874</v>
      </c>
      <c r="E380">
        <v>997</v>
      </c>
    </row>
    <row r="381" spans="1:5" x14ac:dyDescent="0.25">
      <c r="A381" t="s">
        <v>317</v>
      </c>
      <c r="B381" t="str">
        <f>VLOOKUP(Counties_by_State_Code[[#This Row],[State_Code]],Territory_by_Code[],2)</f>
        <v>Florida</v>
      </c>
      <c r="C381" t="s">
        <v>348</v>
      </c>
      <c r="D381">
        <v>90352</v>
      </c>
      <c r="E381">
        <v>652</v>
      </c>
    </row>
    <row r="382" spans="1:5" x14ac:dyDescent="0.25">
      <c r="A382" t="s">
        <v>317</v>
      </c>
      <c r="B382" t="str">
        <f>VLOOKUP(Counties_by_State_Code[[#This Row],[State_Code]],Territory_by_Code[],2)</f>
        <v>Florida</v>
      </c>
      <c r="C382" t="s">
        <v>349</v>
      </c>
      <c r="D382">
        <v>211668</v>
      </c>
      <c r="E382">
        <v>936</v>
      </c>
    </row>
    <row r="383" spans="1:5" x14ac:dyDescent="0.25">
      <c r="A383" t="s">
        <v>317</v>
      </c>
      <c r="B383" t="str">
        <f>VLOOKUP(Counties_by_State_Code[[#This Row],[State_Code]],Territory_by_Code[],2)</f>
        <v>Florida</v>
      </c>
      <c r="C383" t="s">
        <v>350</v>
      </c>
      <c r="D383">
        <v>39644</v>
      </c>
      <c r="E383">
        <v>774</v>
      </c>
    </row>
    <row r="384" spans="1:5" x14ac:dyDescent="0.25">
      <c r="A384" t="s">
        <v>317</v>
      </c>
      <c r="B384" t="str">
        <f>VLOOKUP(Counties_by_State_Code[[#This Row],[State_Code]],Territory_by_Code[],2)</f>
        <v>Florida</v>
      </c>
      <c r="C384" t="s">
        <v>208</v>
      </c>
      <c r="D384">
        <v>1429908</v>
      </c>
      <c r="E384">
        <v>908</v>
      </c>
    </row>
    <row r="385" spans="1:5" x14ac:dyDescent="0.25">
      <c r="A385" t="s">
        <v>317</v>
      </c>
      <c r="B385" t="str">
        <f>VLOOKUP(Counties_by_State_Code[[#This Row],[State_Code]],Territory_by_Code[],2)</f>
        <v>Florida</v>
      </c>
      <c r="C385" t="s">
        <v>351</v>
      </c>
      <c r="D385">
        <v>388656</v>
      </c>
      <c r="E385">
        <v>1322</v>
      </c>
    </row>
    <row r="386" spans="1:5" x14ac:dyDescent="0.25">
      <c r="A386" t="s">
        <v>317</v>
      </c>
      <c r="B386" t="str">
        <f>VLOOKUP(Counties_by_State_Code[[#This Row],[State_Code]],Territory_by_Code[],2)</f>
        <v>Florida</v>
      </c>
      <c r="C386" t="s">
        <v>352</v>
      </c>
      <c r="D386">
        <v>1492191</v>
      </c>
      <c r="E386">
        <v>2034</v>
      </c>
    </row>
    <row r="387" spans="1:5" x14ac:dyDescent="0.25">
      <c r="A387" t="s">
        <v>317</v>
      </c>
      <c r="B387" t="str">
        <f>VLOOKUP(Counties_by_State_Code[[#This Row],[State_Code]],Territory_by_Code[],2)</f>
        <v>Florida</v>
      </c>
      <c r="C387" t="s">
        <v>353</v>
      </c>
      <c r="D387">
        <v>561891</v>
      </c>
      <c r="E387">
        <v>745</v>
      </c>
    </row>
    <row r="388" spans="1:5" x14ac:dyDescent="0.25">
      <c r="A388" t="s">
        <v>317</v>
      </c>
      <c r="B388" t="str">
        <f>VLOOKUP(Counties_by_State_Code[[#This Row],[State_Code]],Territory_by_Code[],2)</f>
        <v>Florida</v>
      </c>
      <c r="C388" t="s">
        <v>354</v>
      </c>
      <c r="D388">
        <v>959107</v>
      </c>
      <c r="E388">
        <v>280</v>
      </c>
    </row>
    <row r="389" spans="1:5" x14ac:dyDescent="0.25">
      <c r="A389" t="s">
        <v>317</v>
      </c>
      <c r="B389" t="str">
        <f>VLOOKUP(Counties_by_State_Code[[#This Row],[State_Code]],Territory_by_Code[],2)</f>
        <v>Florida</v>
      </c>
      <c r="C389" t="s">
        <v>162</v>
      </c>
      <c r="D389">
        <v>725046</v>
      </c>
      <c r="E389">
        <v>1875</v>
      </c>
    </row>
    <row r="390" spans="1:5" x14ac:dyDescent="0.25">
      <c r="A390" t="s">
        <v>317</v>
      </c>
      <c r="B390" t="str">
        <f>VLOOKUP(Counties_by_State_Code[[#This Row],[State_Code]],Territory_by_Code[],2)</f>
        <v>Florida</v>
      </c>
      <c r="C390" t="s">
        <v>355</v>
      </c>
      <c r="D390">
        <v>73321</v>
      </c>
      <c r="E390">
        <v>722</v>
      </c>
    </row>
    <row r="391" spans="1:5" x14ac:dyDescent="0.25">
      <c r="A391" t="s">
        <v>317</v>
      </c>
      <c r="B391" t="str">
        <f>VLOOKUP(Counties_by_State_Code[[#This Row],[State_Code]],Territory_by_Code[],2)</f>
        <v>Florida</v>
      </c>
      <c r="C391" t="s">
        <v>356</v>
      </c>
      <c r="D391">
        <v>273425</v>
      </c>
      <c r="E391">
        <v>609</v>
      </c>
    </row>
    <row r="392" spans="1:5" x14ac:dyDescent="0.25">
      <c r="A392" t="s">
        <v>317</v>
      </c>
      <c r="B392" t="str">
        <f>VLOOKUP(Counties_by_State_Code[[#This Row],[State_Code]],Territory_by_Code[],2)</f>
        <v>Florida</v>
      </c>
      <c r="C392" t="s">
        <v>357</v>
      </c>
      <c r="D392">
        <v>329226</v>
      </c>
      <c r="E392">
        <v>572</v>
      </c>
    </row>
    <row r="393" spans="1:5" x14ac:dyDescent="0.25">
      <c r="A393" t="s">
        <v>317</v>
      </c>
      <c r="B393" t="str">
        <f>VLOOKUP(Counties_by_State_Code[[#This Row],[State_Code]],Territory_by_Code[],2)</f>
        <v>Florida</v>
      </c>
      <c r="C393" t="s">
        <v>358</v>
      </c>
      <c r="D393">
        <v>188000</v>
      </c>
      <c r="E393">
        <v>1016</v>
      </c>
    </row>
    <row r="394" spans="1:5" x14ac:dyDescent="0.25">
      <c r="A394" t="s">
        <v>317</v>
      </c>
      <c r="B394" t="str">
        <f>VLOOKUP(Counties_by_State_Code[[#This Row],[State_Code]],Territory_by_Code[],2)</f>
        <v>Florida</v>
      </c>
      <c r="C394" t="s">
        <v>359</v>
      </c>
      <c r="D394">
        <v>434006</v>
      </c>
      <c r="E394">
        <v>572</v>
      </c>
    </row>
    <row r="395" spans="1:5" x14ac:dyDescent="0.25">
      <c r="A395" t="s">
        <v>317</v>
      </c>
      <c r="B395" t="str">
        <f>VLOOKUP(Counties_by_State_Code[[#This Row],[State_Code]],Territory_by_Code[],2)</f>
        <v>Florida</v>
      </c>
      <c r="C395" t="s">
        <v>360</v>
      </c>
      <c r="D395">
        <v>470856</v>
      </c>
      <c r="E395">
        <v>308</v>
      </c>
    </row>
    <row r="396" spans="1:5" x14ac:dyDescent="0.25">
      <c r="A396" t="s">
        <v>317</v>
      </c>
      <c r="B396" t="str">
        <f>VLOOKUP(Counties_by_State_Code[[#This Row],[State_Code]],Territory_by_Code[],2)</f>
        <v>Florida</v>
      </c>
      <c r="C396" t="s">
        <v>60</v>
      </c>
      <c r="D396">
        <v>129752</v>
      </c>
      <c r="E396">
        <v>546</v>
      </c>
    </row>
    <row r="397" spans="1:5" x14ac:dyDescent="0.25">
      <c r="A397" t="s">
        <v>317</v>
      </c>
      <c r="B397" t="str">
        <f>VLOOKUP(Counties_by_State_Code[[#This Row],[State_Code]],Territory_by_Code[],2)</f>
        <v>Florida</v>
      </c>
      <c r="C397" t="s">
        <v>361</v>
      </c>
      <c r="D397">
        <v>43474</v>
      </c>
      <c r="E397">
        <v>688</v>
      </c>
    </row>
    <row r="398" spans="1:5" x14ac:dyDescent="0.25">
      <c r="A398" t="s">
        <v>317</v>
      </c>
      <c r="B398" t="str">
        <f>VLOOKUP(Counties_by_State_Code[[#This Row],[State_Code]],Territory_by_Code[],2)</f>
        <v>Florida</v>
      </c>
      <c r="C398" t="s">
        <v>362</v>
      </c>
      <c r="D398">
        <v>21796</v>
      </c>
      <c r="E398">
        <v>1042</v>
      </c>
    </row>
    <row r="399" spans="1:5" x14ac:dyDescent="0.25">
      <c r="A399" t="s">
        <v>317</v>
      </c>
      <c r="B399" t="str">
        <f>VLOOKUP(Counties_by_State_Code[[#This Row],[State_Code]],Territory_by_Code[],2)</f>
        <v>Florida</v>
      </c>
      <c r="C399" t="s">
        <v>174</v>
      </c>
      <c r="D399">
        <v>16147</v>
      </c>
      <c r="E399">
        <v>240</v>
      </c>
    </row>
    <row r="400" spans="1:5" x14ac:dyDescent="0.25">
      <c r="A400" t="s">
        <v>317</v>
      </c>
      <c r="B400" t="str">
        <f>VLOOKUP(Counties_by_State_Code[[#This Row],[State_Code]],Territory_by_Code[],2)</f>
        <v>Florida</v>
      </c>
      <c r="C400" t="s">
        <v>363</v>
      </c>
      <c r="D400">
        <v>553543</v>
      </c>
      <c r="E400">
        <v>1106</v>
      </c>
    </row>
    <row r="401" spans="1:5" x14ac:dyDescent="0.25">
      <c r="A401" t="s">
        <v>317</v>
      </c>
      <c r="B401" t="str">
        <f>VLOOKUP(Counties_by_State_Code[[#This Row],[State_Code]],Territory_by_Code[],2)</f>
        <v>Florida</v>
      </c>
      <c r="C401" t="s">
        <v>364</v>
      </c>
      <c r="D401">
        <v>33764</v>
      </c>
      <c r="E401">
        <v>607</v>
      </c>
    </row>
    <row r="402" spans="1:5" x14ac:dyDescent="0.25">
      <c r="A402" t="s">
        <v>317</v>
      </c>
      <c r="B402" t="str">
        <f>VLOOKUP(Counties_by_State_Code[[#This Row],[State_Code]],Territory_by_Code[],2)</f>
        <v>Florida</v>
      </c>
      <c r="C402" t="s">
        <v>365</v>
      </c>
      <c r="D402">
        <v>75305</v>
      </c>
      <c r="E402">
        <v>1058</v>
      </c>
    </row>
    <row r="403" spans="1:5" x14ac:dyDescent="0.25">
      <c r="A403" t="s">
        <v>317</v>
      </c>
      <c r="B403" t="str">
        <f>VLOOKUP(Counties_by_State_Code[[#This Row],[State_Code]],Territory_by_Code[],2)</f>
        <v>Florida</v>
      </c>
      <c r="C403" t="s">
        <v>65</v>
      </c>
      <c r="D403">
        <v>25318</v>
      </c>
      <c r="E403">
        <v>580</v>
      </c>
    </row>
    <row r="404" spans="1:5" x14ac:dyDescent="0.25">
      <c r="A404" t="s">
        <v>367</v>
      </c>
      <c r="B404" t="str">
        <f>VLOOKUP(Counties_by_State_Code[[#This Row],[State_Code]],Territory_by_Code[],2)</f>
        <v>Georgia</v>
      </c>
      <c r="C404" t="s">
        <v>366</v>
      </c>
      <c r="D404">
        <v>18444</v>
      </c>
      <c r="E404">
        <v>509</v>
      </c>
    </row>
    <row r="405" spans="1:5" x14ac:dyDescent="0.25">
      <c r="A405" t="s">
        <v>367</v>
      </c>
      <c r="B405" t="str">
        <f>VLOOKUP(Counties_by_State_Code[[#This Row],[State_Code]],Territory_by_Code[],2)</f>
        <v>Georgia</v>
      </c>
      <c r="C405" t="s">
        <v>368</v>
      </c>
      <c r="D405">
        <v>8286</v>
      </c>
      <c r="E405">
        <v>338</v>
      </c>
    </row>
    <row r="406" spans="1:5" x14ac:dyDescent="0.25">
      <c r="A406" t="s">
        <v>367</v>
      </c>
      <c r="B406" t="str">
        <f>VLOOKUP(Counties_by_State_Code[[#This Row],[State_Code]],Territory_by_Code[],2)</f>
        <v>Georgia</v>
      </c>
      <c r="C406" t="s">
        <v>369</v>
      </c>
      <c r="D406">
        <v>11140</v>
      </c>
      <c r="E406">
        <v>285</v>
      </c>
    </row>
    <row r="407" spans="1:5" x14ac:dyDescent="0.25">
      <c r="A407" t="s">
        <v>367</v>
      </c>
      <c r="B407" t="str">
        <f>VLOOKUP(Counties_by_State_Code[[#This Row],[State_Code]],Territory_by_Code[],2)</f>
        <v>Georgia</v>
      </c>
      <c r="C407" t="s">
        <v>318</v>
      </c>
      <c r="D407">
        <v>2876</v>
      </c>
      <c r="E407">
        <v>343</v>
      </c>
    </row>
    <row r="408" spans="1:5" x14ac:dyDescent="0.25">
      <c r="A408" t="s">
        <v>367</v>
      </c>
      <c r="B408" t="str">
        <f>VLOOKUP(Counties_by_State_Code[[#This Row],[State_Code]],Territory_by_Code[],2)</f>
        <v>Georgia</v>
      </c>
      <c r="C408" t="s">
        <v>2</v>
      </c>
      <c r="D408">
        <v>43799</v>
      </c>
      <c r="E408">
        <v>258</v>
      </c>
    </row>
    <row r="409" spans="1:5" x14ac:dyDescent="0.25">
      <c r="A409" t="s">
        <v>367</v>
      </c>
      <c r="B409" t="str">
        <f>VLOOKUP(Counties_by_State_Code[[#This Row],[State_Code]],Territory_by_Code[],2)</f>
        <v>Georgia</v>
      </c>
      <c r="C409" t="s">
        <v>370</v>
      </c>
      <c r="D409">
        <v>18035</v>
      </c>
      <c r="E409">
        <v>234</v>
      </c>
    </row>
    <row r="410" spans="1:5" x14ac:dyDescent="0.25">
      <c r="A410" t="s">
        <v>367</v>
      </c>
      <c r="B410" t="str">
        <f>VLOOKUP(Counties_by_State_Code[[#This Row],[State_Code]],Territory_by_Code[],2)</f>
        <v>Georgia</v>
      </c>
      <c r="C410" t="s">
        <v>371</v>
      </c>
      <c r="D410">
        <v>83505</v>
      </c>
      <c r="E410">
        <v>162</v>
      </c>
    </row>
    <row r="411" spans="1:5" x14ac:dyDescent="0.25">
      <c r="A411" t="s">
        <v>367</v>
      </c>
      <c r="B411" t="str">
        <f>VLOOKUP(Counties_by_State_Code[[#This Row],[State_Code]],Territory_by_Code[],2)</f>
        <v>Georgia</v>
      </c>
      <c r="C411" t="s">
        <v>372</v>
      </c>
      <c r="D411">
        <v>108901</v>
      </c>
      <c r="E411">
        <v>460</v>
      </c>
    </row>
    <row r="412" spans="1:5" x14ac:dyDescent="0.25">
      <c r="A412" t="s">
        <v>367</v>
      </c>
      <c r="B412" t="str">
        <f>VLOOKUP(Counties_by_State_Code[[#This Row],[State_Code]],Territory_by_Code[],2)</f>
        <v>Georgia</v>
      </c>
      <c r="C412" t="s">
        <v>373</v>
      </c>
      <c r="D412">
        <v>17194</v>
      </c>
      <c r="E412">
        <v>252</v>
      </c>
    </row>
    <row r="413" spans="1:5" x14ac:dyDescent="0.25">
      <c r="A413" t="s">
        <v>367</v>
      </c>
      <c r="B413" t="str">
        <f>VLOOKUP(Counties_by_State_Code[[#This Row],[State_Code]],Territory_by_Code[],2)</f>
        <v>Georgia</v>
      </c>
      <c r="C413" t="s">
        <v>374</v>
      </c>
      <c r="D413">
        <v>18160</v>
      </c>
      <c r="E413">
        <v>452</v>
      </c>
    </row>
    <row r="414" spans="1:5" x14ac:dyDescent="0.25">
      <c r="A414" t="s">
        <v>367</v>
      </c>
      <c r="B414" t="str">
        <f>VLOOKUP(Counties_by_State_Code[[#This Row],[State_Code]],Territory_by_Code[],2)</f>
        <v>Georgia</v>
      </c>
      <c r="C414" t="s">
        <v>4</v>
      </c>
      <c r="D414">
        <v>157346</v>
      </c>
      <c r="E414">
        <v>250</v>
      </c>
    </row>
    <row r="415" spans="1:5" x14ac:dyDescent="0.25">
      <c r="A415" t="s">
        <v>367</v>
      </c>
      <c r="B415" t="str">
        <f>VLOOKUP(Counties_by_State_Code[[#This Row],[State_Code]],Territory_by_Code[],2)</f>
        <v>Georgia</v>
      </c>
      <c r="C415" t="s">
        <v>375</v>
      </c>
      <c r="D415">
        <v>12583</v>
      </c>
      <c r="E415">
        <v>217</v>
      </c>
    </row>
    <row r="416" spans="1:5" x14ac:dyDescent="0.25">
      <c r="A416" t="s">
        <v>367</v>
      </c>
      <c r="B416" t="str">
        <f>VLOOKUP(Counties_by_State_Code[[#This Row],[State_Code]],Territory_by_Code[],2)</f>
        <v>Georgia</v>
      </c>
      <c r="C416" t="s">
        <v>376</v>
      </c>
      <c r="D416">
        <v>18021</v>
      </c>
      <c r="E416">
        <v>444</v>
      </c>
    </row>
    <row r="417" spans="1:5" x14ac:dyDescent="0.25">
      <c r="A417" t="s">
        <v>367</v>
      </c>
      <c r="B417" t="str">
        <f>VLOOKUP(Counties_by_State_Code[[#This Row],[State_Code]],Territory_by_Code[],2)</f>
        <v>Georgia</v>
      </c>
      <c r="C417" t="s">
        <v>377</v>
      </c>
      <c r="D417">
        <v>16301</v>
      </c>
      <c r="E417">
        <v>494</v>
      </c>
    </row>
    <row r="418" spans="1:5" x14ac:dyDescent="0.25">
      <c r="A418" t="s">
        <v>367</v>
      </c>
      <c r="B418" t="str">
        <f>VLOOKUP(Counties_by_State_Code[[#This Row],[State_Code]],Territory_by_Code[],2)</f>
        <v>Georgia</v>
      </c>
      <c r="C418" t="s">
        <v>378</v>
      </c>
      <c r="D418">
        <v>44738</v>
      </c>
      <c r="E418">
        <v>442</v>
      </c>
    </row>
    <row r="419" spans="1:5" x14ac:dyDescent="0.25">
      <c r="A419" t="s">
        <v>367</v>
      </c>
      <c r="B419" t="str">
        <f>VLOOKUP(Counties_by_State_Code[[#This Row],[State_Code]],Territory_by_Code[],2)</f>
        <v>Georgia</v>
      </c>
      <c r="C419" t="s">
        <v>379</v>
      </c>
      <c r="D419">
        <v>81099</v>
      </c>
      <c r="E419">
        <v>683</v>
      </c>
    </row>
    <row r="420" spans="1:5" x14ac:dyDescent="0.25">
      <c r="A420" t="s">
        <v>367</v>
      </c>
      <c r="B420" t="str">
        <f>VLOOKUP(Counties_by_State_Code[[#This Row],[State_Code]],Territory_by_Code[],2)</f>
        <v>Georgia</v>
      </c>
      <c r="C420" t="s">
        <v>380</v>
      </c>
      <c r="D420">
        <v>24596</v>
      </c>
      <c r="E420">
        <v>831</v>
      </c>
    </row>
    <row r="421" spans="1:5" x14ac:dyDescent="0.25">
      <c r="A421" t="s">
        <v>367</v>
      </c>
      <c r="B421" t="str">
        <f>VLOOKUP(Counties_by_State_Code[[#This Row],[State_Code]],Territory_by_Code[],2)</f>
        <v>Georgia</v>
      </c>
      <c r="C421" t="s">
        <v>381</v>
      </c>
      <c r="D421">
        <v>25434</v>
      </c>
      <c r="E421">
        <v>187</v>
      </c>
    </row>
    <row r="422" spans="1:5" x14ac:dyDescent="0.25">
      <c r="A422" t="s">
        <v>367</v>
      </c>
      <c r="B422" t="str">
        <f>VLOOKUP(Counties_by_State_Code[[#This Row],[State_Code]],Territory_by_Code[],2)</f>
        <v>Georgia</v>
      </c>
      <c r="C422" t="s">
        <v>8</v>
      </c>
      <c r="D422">
        <v>5573</v>
      </c>
      <c r="E422">
        <v>280</v>
      </c>
    </row>
    <row r="423" spans="1:5" x14ac:dyDescent="0.25">
      <c r="A423" t="s">
        <v>367</v>
      </c>
      <c r="B423" t="str">
        <f>VLOOKUP(Counties_by_State_Code[[#This Row],[State_Code]],Territory_by_Code[],2)</f>
        <v>Georgia</v>
      </c>
      <c r="C423" t="s">
        <v>382</v>
      </c>
      <c r="D423">
        <v>54768</v>
      </c>
      <c r="E423">
        <v>630</v>
      </c>
    </row>
    <row r="424" spans="1:5" x14ac:dyDescent="0.25">
      <c r="A424" t="s">
        <v>367</v>
      </c>
      <c r="B424" t="str">
        <f>VLOOKUP(Counties_by_State_Code[[#This Row],[State_Code]],Territory_by_Code[],2)</f>
        <v>Georgia</v>
      </c>
      <c r="C424" t="s">
        <v>383</v>
      </c>
      <c r="D424">
        <v>10981</v>
      </c>
      <c r="E424">
        <v>247</v>
      </c>
    </row>
    <row r="425" spans="1:5" x14ac:dyDescent="0.25">
      <c r="A425" t="s">
        <v>367</v>
      </c>
      <c r="B425" t="str">
        <f>VLOOKUP(Counties_by_State_Code[[#This Row],[State_Code]],Territory_by_Code[],2)</f>
        <v>Georgia</v>
      </c>
      <c r="C425" t="s">
        <v>128</v>
      </c>
      <c r="D425">
        <v>119148</v>
      </c>
      <c r="E425">
        <v>499</v>
      </c>
    </row>
    <row r="426" spans="1:5" x14ac:dyDescent="0.25">
      <c r="A426" t="s">
        <v>367</v>
      </c>
      <c r="B426" t="str">
        <f>VLOOKUP(Counties_by_State_Code[[#This Row],[State_Code]],Territory_by_Code[],2)</f>
        <v>Georgia</v>
      </c>
      <c r="C426" t="s">
        <v>384</v>
      </c>
      <c r="D426">
        <v>67872</v>
      </c>
      <c r="E426">
        <v>162</v>
      </c>
    </row>
    <row r="427" spans="1:5" x14ac:dyDescent="0.25">
      <c r="A427" t="s">
        <v>367</v>
      </c>
      <c r="B427" t="str">
        <f>VLOOKUP(Counties_by_State_Code[[#This Row],[State_Code]],Territory_by_Code[],2)</f>
        <v>Georgia</v>
      </c>
      <c r="C427" t="s">
        <v>385</v>
      </c>
      <c r="D427">
        <v>12518</v>
      </c>
      <c r="E427">
        <v>781</v>
      </c>
    </row>
    <row r="428" spans="1:5" x14ac:dyDescent="0.25">
      <c r="A428" t="s">
        <v>367</v>
      </c>
      <c r="B428" t="str">
        <f>VLOOKUP(Counties_by_State_Code[[#This Row],[State_Code]],Territory_by_Code[],2)</f>
        <v>Georgia</v>
      </c>
      <c r="C428" t="s">
        <v>386</v>
      </c>
      <c r="D428">
        <v>295291</v>
      </c>
      <c r="E428">
        <v>440</v>
      </c>
    </row>
    <row r="429" spans="1:5" x14ac:dyDescent="0.25">
      <c r="A429" t="s">
        <v>367</v>
      </c>
      <c r="B429" t="str">
        <f>VLOOKUP(Counties_by_State_Code[[#This Row],[State_Code]],Territory_by_Code[],2)</f>
        <v>Georgia</v>
      </c>
      <c r="C429" t="s">
        <v>387</v>
      </c>
      <c r="D429">
        <v>9565</v>
      </c>
      <c r="E429">
        <v>249</v>
      </c>
    </row>
    <row r="430" spans="1:5" x14ac:dyDescent="0.25">
      <c r="A430" t="s">
        <v>367</v>
      </c>
      <c r="B430" t="str">
        <f>VLOOKUP(Counties_by_State_Code[[#This Row],[State_Code]],Territory_by_Code[],2)</f>
        <v>Georgia</v>
      </c>
      <c r="C430" t="s">
        <v>388</v>
      </c>
      <c r="D430">
        <v>24965</v>
      </c>
      <c r="E430">
        <v>314</v>
      </c>
    </row>
    <row r="431" spans="1:5" x14ac:dyDescent="0.25">
      <c r="A431" t="s">
        <v>367</v>
      </c>
      <c r="B431" t="str">
        <f>VLOOKUP(Counties_by_State_Code[[#This Row],[State_Code]],Territory_by_Code[],2)</f>
        <v>Georgia</v>
      </c>
      <c r="C431" t="s">
        <v>10</v>
      </c>
      <c r="D431">
        <v>266620</v>
      </c>
      <c r="E431">
        <v>424</v>
      </c>
    </row>
    <row r="432" spans="1:5" x14ac:dyDescent="0.25">
      <c r="A432" t="s">
        <v>367</v>
      </c>
      <c r="B432" t="str">
        <f>VLOOKUP(Counties_by_State_Code[[#This Row],[State_Code]],Territory_by_Code[],2)</f>
        <v>Georgia</v>
      </c>
      <c r="C432" t="s">
        <v>13</v>
      </c>
      <c r="D432">
        <v>128671</v>
      </c>
      <c r="E432">
        <v>121</v>
      </c>
    </row>
    <row r="433" spans="1:5" x14ac:dyDescent="0.25">
      <c r="A433" t="s">
        <v>367</v>
      </c>
      <c r="B433" t="str">
        <f>VLOOKUP(Counties_by_State_Code[[#This Row],[State_Code]],Territory_by_Code[],2)</f>
        <v>Georgia</v>
      </c>
      <c r="C433" t="s">
        <v>14</v>
      </c>
      <c r="D433">
        <v>2848</v>
      </c>
      <c r="E433">
        <v>195</v>
      </c>
    </row>
    <row r="434" spans="1:5" x14ac:dyDescent="0.25">
      <c r="A434" t="s">
        <v>367</v>
      </c>
      <c r="B434" t="str">
        <f>VLOOKUP(Counties_by_State_Code[[#This Row],[State_Code]],Territory_by_Code[],2)</f>
        <v>Georgia</v>
      </c>
      <c r="C434" t="s">
        <v>389</v>
      </c>
      <c r="D434">
        <v>297595</v>
      </c>
      <c r="E434">
        <v>195</v>
      </c>
    </row>
    <row r="435" spans="1:5" x14ac:dyDescent="0.25">
      <c r="A435" t="s">
        <v>367</v>
      </c>
      <c r="B435" t="str">
        <f>VLOOKUP(Counties_by_State_Code[[#This Row],[State_Code]],Territory_by_Code[],2)</f>
        <v>Georgia</v>
      </c>
      <c r="C435" t="s">
        <v>390</v>
      </c>
      <c r="D435">
        <v>6749</v>
      </c>
      <c r="E435">
        <v>809</v>
      </c>
    </row>
    <row r="436" spans="1:5" x14ac:dyDescent="0.25">
      <c r="A436" t="s">
        <v>367</v>
      </c>
      <c r="B436" t="str">
        <f>VLOOKUP(Counties_by_State_Code[[#This Row],[State_Code]],Territory_by_Code[],2)</f>
        <v>Georgia</v>
      </c>
      <c r="C436" t="s">
        <v>391</v>
      </c>
      <c r="D436">
        <v>766149</v>
      </c>
      <c r="E436">
        <v>340</v>
      </c>
    </row>
    <row r="437" spans="1:5" x14ac:dyDescent="0.25">
      <c r="A437" t="s">
        <v>367</v>
      </c>
      <c r="B437" t="str">
        <f>VLOOKUP(Counties_by_State_Code[[#This Row],[State_Code]],Territory_by_Code[],2)</f>
        <v>Georgia</v>
      </c>
      <c r="C437" t="s">
        <v>16</v>
      </c>
      <c r="D437">
        <v>43092</v>
      </c>
      <c r="E437">
        <v>599</v>
      </c>
    </row>
    <row r="438" spans="1:5" x14ac:dyDescent="0.25">
      <c r="A438" t="s">
        <v>367</v>
      </c>
      <c r="B438" t="str">
        <f>VLOOKUP(Counties_by_State_Code[[#This Row],[State_Code]],Territory_by_Code[],2)</f>
        <v>Georgia</v>
      </c>
      <c r="C438" t="s">
        <v>392</v>
      </c>
      <c r="D438">
        <v>45898</v>
      </c>
      <c r="E438">
        <v>552</v>
      </c>
    </row>
    <row r="439" spans="1:5" x14ac:dyDescent="0.25">
      <c r="A439" t="s">
        <v>367</v>
      </c>
      <c r="B439" t="str">
        <f>VLOOKUP(Counties_by_State_Code[[#This Row],[State_Code]],Territory_by_Code[],2)</f>
        <v>Georgia</v>
      </c>
      <c r="C439" t="s">
        <v>132</v>
      </c>
      <c r="D439">
        <v>156010</v>
      </c>
      <c r="E439">
        <v>290</v>
      </c>
    </row>
    <row r="440" spans="1:5" x14ac:dyDescent="0.25">
      <c r="A440" t="s">
        <v>367</v>
      </c>
      <c r="B440" t="str">
        <f>VLOOKUP(Counties_by_State_Code[[#This Row],[State_Code]],Territory_by_Code[],2)</f>
        <v>Georgia</v>
      </c>
      <c r="C440" t="s">
        <v>393</v>
      </c>
      <c r="D440">
        <v>17229</v>
      </c>
      <c r="E440">
        <v>229</v>
      </c>
    </row>
    <row r="441" spans="1:5" x14ac:dyDescent="0.25">
      <c r="A441" t="s">
        <v>367</v>
      </c>
      <c r="B441" t="str">
        <f>VLOOKUP(Counties_by_State_Code[[#This Row],[State_Code]],Territory_by_Code[],2)</f>
        <v>Georgia</v>
      </c>
      <c r="C441" t="s">
        <v>394</v>
      </c>
      <c r="D441">
        <v>146158</v>
      </c>
      <c r="E441">
        <v>443</v>
      </c>
    </row>
    <row r="442" spans="1:5" x14ac:dyDescent="0.25">
      <c r="A442" t="s">
        <v>367</v>
      </c>
      <c r="B442" t="str">
        <f>VLOOKUP(Counties_by_State_Code[[#This Row],[State_Code]],Territory_by_Code[],2)</f>
        <v>Georgia</v>
      </c>
      <c r="C442" t="s">
        <v>135</v>
      </c>
      <c r="D442">
        <v>12130</v>
      </c>
      <c r="E442">
        <v>325</v>
      </c>
    </row>
    <row r="443" spans="1:5" x14ac:dyDescent="0.25">
      <c r="A443" t="s">
        <v>367</v>
      </c>
      <c r="B443" t="str">
        <f>VLOOKUP(Counties_by_State_Code[[#This Row],[State_Code]],Territory_by_Code[],2)</f>
        <v>Georgia</v>
      </c>
      <c r="C443" t="s">
        <v>395</v>
      </c>
      <c r="D443">
        <v>20128</v>
      </c>
      <c r="E443">
        <v>274</v>
      </c>
    </row>
    <row r="444" spans="1:5" x14ac:dyDescent="0.25">
      <c r="A444" t="s">
        <v>367</v>
      </c>
      <c r="B444" t="str">
        <f>VLOOKUP(Counties_by_State_Code[[#This Row],[State_Code]],Territory_by_Code[],2)</f>
        <v>Georgia</v>
      </c>
      <c r="C444" t="s">
        <v>396</v>
      </c>
      <c r="D444">
        <v>16251</v>
      </c>
      <c r="E444">
        <v>174</v>
      </c>
    </row>
    <row r="445" spans="1:5" x14ac:dyDescent="0.25">
      <c r="A445" t="s">
        <v>367</v>
      </c>
      <c r="B445" t="str">
        <f>VLOOKUP(Counties_by_State_Code[[#This Row],[State_Code]],Territory_by_Code[],2)</f>
        <v>Georgia</v>
      </c>
      <c r="C445" t="s">
        <v>397</v>
      </c>
      <c r="D445">
        <v>26798</v>
      </c>
      <c r="E445">
        <v>211</v>
      </c>
    </row>
    <row r="446" spans="1:5" x14ac:dyDescent="0.25">
      <c r="A446" t="s">
        <v>367</v>
      </c>
      <c r="B446" t="str">
        <f>VLOOKUP(Counties_by_State_Code[[#This Row],[State_Code]],Territory_by_Code[],2)</f>
        <v>Georgia</v>
      </c>
      <c r="C446" t="s">
        <v>398</v>
      </c>
      <c r="D446">
        <v>29367</v>
      </c>
      <c r="E446">
        <v>597</v>
      </c>
    </row>
    <row r="447" spans="1:5" x14ac:dyDescent="0.25">
      <c r="A447" t="s">
        <v>367</v>
      </c>
      <c r="B447" t="str">
        <f>VLOOKUP(Counties_by_State_Code[[#This Row],[State_Code]],Territory_by_Code[],2)</f>
        <v>Georgia</v>
      </c>
      <c r="C447" t="s">
        <v>25</v>
      </c>
      <c r="D447">
        <v>764382</v>
      </c>
      <c r="E447">
        <v>268</v>
      </c>
    </row>
    <row r="448" spans="1:5" x14ac:dyDescent="0.25">
      <c r="A448" t="s">
        <v>367</v>
      </c>
      <c r="B448" t="str">
        <f>VLOOKUP(Counties_by_State_Code[[#This Row],[State_Code]],Territory_by_Code[],2)</f>
        <v>Georgia</v>
      </c>
      <c r="C448" t="s">
        <v>399</v>
      </c>
      <c r="D448">
        <v>19925</v>
      </c>
      <c r="E448">
        <v>501</v>
      </c>
    </row>
    <row r="449" spans="1:5" x14ac:dyDescent="0.25">
      <c r="A449" t="s">
        <v>367</v>
      </c>
      <c r="B449" t="str">
        <f>VLOOKUP(Counties_by_State_Code[[#This Row],[State_Code]],Territory_by_Code[],2)</f>
        <v>Georgia</v>
      </c>
      <c r="C449" t="s">
        <v>400</v>
      </c>
      <c r="D449">
        <v>11208</v>
      </c>
      <c r="E449">
        <v>393</v>
      </c>
    </row>
    <row r="450" spans="1:5" x14ac:dyDescent="0.25">
      <c r="A450" t="s">
        <v>367</v>
      </c>
      <c r="B450" t="str">
        <f>VLOOKUP(Counties_by_State_Code[[#This Row],[State_Code]],Territory_by_Code[],2)</f>
        <v>Georgia</v>
      </c>
      <c r="C450" t="s">
        <v>401</v>
      </c>
      <c r="D450">
        <v>85790</v>
      </c>
      <c r="E450">
        <v>330</v>
      </c>
    </row>
    <row r="451" spans="1:5" x14ac:dyDescent="0.25">
      <c r="A451" t="s">
        <v>367</v>
      </c>
      <c r="B451" t="str">
        <f>VLOOKUP(Counties_by_State_Code[[#This Row],[State_Code]],Territory_by_Code[],2)</f>
        <v>Georgia</v>
      </c>
      <c r="C451" t="s">
        <v>255</v>
      </c>
      <c r="D451">
        <v>144237</v>
      </c>
      <c r="E451">
        <v>199</v>
      </c>
    </row>
    <row r="452" spans="1:5" x14ac:dyDescent="0.25">
      <c r="A452" t="s">
        <v>367</v>
      </c>
      <c r="B452" t="str">
        <f>VLOOKUP(Counties_by_State_Code[[#This Row],[State_Code]],Territory_by_Code[],2)</f>
        <v>Georgia</v>
      </c>
      <c r="C452" t="s">
        <v>402</v>
      </c>
      <c r="D452">
        <v>10854</v>
      </c>
      <c r="E452">
        <v>511</v>
      </c>
    </row>
    <row r="453" spans="1:5" x14ac:dyDescent="0.25">
      <c r="A453" t="s">
        <v>367</v>
      </c>
      <c r="B453" t="str">
        <f>VLOOKUP(Counties_by_State_Code[[#This Row],[State_Code]],Territory_by_Code[],2)</f>
        <v>Georgia</v>
      </c>
      <c r="C453" t="s">
        <v>403</v>
      </c>
      <c r="D453">
        <v>3697</v>
      </c>
      <c r="E453">
        <v>404</v>
      </c>
    </row>
    <row r="454" spans="1:5" x14ac:dyDescent="0.25">
      <c r="A454" t="s">
        <v>367</v>
      </c>
      <c r="B454" t="str">
        <f>VLOOKUP(Counties_by_State_Code[[#This Row],[State_Code]],Territory_by_Code[],2)</f>
        <v>Georgia</v>
      </c>
      <c r="C454" t="s">
        <v>404</v>
      </c>
      <c r="D454">
        <v>64769</v>
      </c>
      <c r="E454">
        <v>480</v>
      </c>
    </row>
    <row r="455" spans="1:5" x14ac:dyDescent="0.25">
      <c r="A455" t="s">
        <v>367</v>
      </c>
      <c r="B455" t="str">
        <f>VLOOKUP(Counties_by_State_Code[[#This Row],[State_Code]],Territory_by_Code[],2)</f>
        <v>Georgia</v>
      </c>
      <c r="C455" t="s">
        <v>258</v>
      </c>
      <c r="D455">
        <v>19637</v>
      </c>
      <c r="E455">
        <v>369</v>
      </c>
    </row>
    <row r="456" spans="1:5" x14ac:dyDescent="0.25">
      <c r="A456" t="s">
        <v>367</v>
      </c>
      <c r="B456" t="str">
        <f>VLOOKUP(Counties_by_State_Code[[#This Row],[State_Code]],Territory_by_Code[],2)</f>
        <v>Georgia</v>
      </c>
      <c r="C456" t="s">
        <v>405</v>
      </c>
      <c r="D456">
        <v>22768</v>
      </c>
      <c r="E456">
        <v>686</v>
      </c>
    </row>
    <row r="457" spans="1:5" x14ac:dyDescent="0.25">
      <c r="A457" t="s">
        <v>367</v>
      </c>
      <c r="B457" t="str">
        <f>VLOOKUP(Counties_by_State_Code[[#This Row],[State_Code]],Territory_by_Code[],2)</f>
        <v>Georgia</v>
      </c>
      <c r="C457" t="s">
        <v>406</v>
      </c>
      <c r="D457">
        <v>10774</v>
      </c>
      <c r="E457">
        <v>185</v>
      </c>
    </row>
    <row r="458" spans="1:5" x14ac:dyDescent="0.25">
      <c r="A458" t="s">
        <v>367</v>
      </c>
      <c r="B458" t="str">
        <f>VLOOKUP(Counties_by_State_Code[[#This Row],[State_Code]],Territory_by_Code[],2)</f>
        <v>Georgia</v>
      </c>
      <c r="C458" t="s">
        <v>407</v>
      </c>
      <c r="D458">
        <v>25319</v>
      </c>
      <c r="E458">
        <v>386</v>
      </c>
    </row>
    <row r="459" spans="1:5" x14ac:dyDescent="0.25">
      <c r="A459" t="s">
        <v>367</v>
      </c>
      <c r="B459" t="str">
        <f>VLOOKUP(Counties_by_State_Code[[#This Row],[State_Code]],Territory_by_Code[],2)</f>
        <v>Georgia</v>
      </c>
      <c r="C459" t="s">
        <v>29</v>
      </c>
      <c r="D459">
        <v>119194</v>
      </c>
      <c r="E459">
        <v>197</v>
      </c>
    </row>
    <row r="460" spans="1:5" x14ac:dyDescent="0.25">
      <c r="A460" t="s">
        <v>367</v>
      </c>
      <c r="B460" t="str">
        <f>VLOOKUP(Counties_by_State_Code[[#This Row],[State_Code]],Territory_by_Code[],2)</f>
        <v>Georgia</v>
      </c>
      <c r="C460" t="s">
        <v>408</v>
      </c>
      <c r="D460">
        <v>98584</v>
      </c>
      <c r="E460">
        <v>513</v>
      </c>
    </row>
    <row r="461" spans="1:5" x14ac:dyDescent="0.25">
      <c r="A461" t="s">
        <v>367</v>
      </c>
      <c r="B461" t="str">
        <f>VLOOKUP(Counties_by_State_Code[[#This Row],[State_Code]],Territory_by_Code[],2)</f>
        <v>Georgia</v>
      </c>
      <c r="C461" t="s">
        <v>409</v>
      </c>
      <c r="D461">
        <v>251283</v>
      </c>
      <c r="E461">
        <v>226</v>
      </c>
    </row>
    <row r="462" spans="1:5" x14ac:dyDescent="0.25">
      <c r="A462" t="s">
        <v>367</v>
      </c>
      <c r="B462" t="str">
        <f>VLOOKUP(Counties_by_State_Code[[#This Row],[State_Code]],Territory_by_Code[],2)</f>
        <v>Georgia</v>
      </c>
      <c r="C462" t="s">
        <v>30</v>
      </c>
      <c r="D462">
        <v>23424</v>
      </c>
      <c r="E462">
        <v>263</v>
      </c>
    </row>
    <row r="463" spans="1:5" x14ac:dyDescent="0.25">
      <c r="A463" t="s">
        <v>367</v>
      </c>
      <c r="B463" t="str">
        <f>VLOOKUP(Counties_by_State_Code[[#This Row],[State_Code]],Territory_by_Code[],2)</f>
        <v>Georgia</v>
      </c>
      <c r="C463" t="s">
        <v>141</v>
      </c>
      <c r="D463">
        <v>1066710</v>
      </c>
      <c r="E463">
        <v>529</v>
      </c>
    </row>
    <row r="464" spans="1:5" x14ac:dyDescent="0.25">
      <c r="A464" t="s">
        <v>367</v>
      </c>
      <c r="B464" t="str">
        <f>VLOOKUP(Counties_by_State_Code[[#This Row],[State_Code]],Territory_by_Code[],2)</f>
        <v>Georgia</v>
      </c>
      <c r="C464" t="s">
        <v>410</v>
      </c>
      <c r="D464">
        <v>31353</v>
      </c>
      <c r="E464">
        <v>427</v>
      </c>
    </row>
    <row r="465" spans="1:5" x14ac:dyDescent="0.25">
      <c r="A465" t="s">
        <v>367</v>
      </c>
      <c r="B465" t="str">
        <f>VLOOKUP(Counties_by_State_Code[[#This Row],[State_Code]],Territory_by_Code[],2)</f>
        <v>Georgia</v>
      </c>
      <c r="C465" t="s">
        <v>411</v>
      </c>
      <c r="D465">
        <v>2884</v>
      </c>
      <c r="E465">
        <v>144</v>
      </c>
    </row>
    <row r="466" spans="1:5" x14ac:dyDescent="0.25">
      <c r="A466" t="s">
        <v>367</v>
      </c>
      <c r="B466" t="str">
        <f>VLOOKUP(Counties_by_State_Code[[#This Row],[State_Code]],Territory_by_Code[],2)</f>
        <v>Georgia</v>
      </c>
      <c r="C466" t="s">
        <v>412</v>
      </c>
      <c r="D466">
        <v>84499</v>
      </c>
      <c r="E466">
        <v>422</v>
      </c>
    </row>
    <row r="467" spans="1:5" x14ac:dyDescent="0.25">
      <c r="A467" t="s">
        <v>367</v>
      </c>
      <c r="B467" t="str">
        <f>VLOOKUP(Counties_by_State_Code[[#This Row],[State_Code]],Territory_by_Code[],2)</f>
        <v>Georgia</v>
      </c>
      <c r="C467" t="s">
        <v>413</v>
      </c>
      <c r="D467">
        <v>57544</v>
      </c>
      <c r="E467">
        <v>355</v>
      </c>
    </row>
    <row r="468" spans="1:5" x14ac:dyDescent="0.25">
      <c r="A468" t="s">
        <v>367</v>
      </c>
      <c r="B468" t="str">
        <f>VLOOKUP(Counties_by_State_Code[[#This Row],[State_Code]],Territory_by_Code[],2)</f>
        <v>Georgia</v>
      </c>
      <c r="C468" t="s">
        <v>414</v>
      </c>
      <c r="D468">
        <v>26236</v>
      </c>
      <c r="E468">
        <v>458</v>
      </c>
    </row>
    <row r="469" spans="1:5" x14ac:dyDescent="0.25">
      <c r="A469" t="s">
        <v>367</v>
      </c>
      <c r="B469" t="str">
        <f>VLOOKUP(Counties_by_State_Code[[#This Row],[State_Code]],Territory_by_Code[],2)</f>
        <v>Georgia</v>
      </c>
      <c r="C469" t="s">
        <v>32</v>
      </c>
      <c r="D469">
        <v>18915</v>
      </c>
      <c r="E469">
        <v>388</v>
      </c>
    </row>
    <row r="470" spans="1:5" x14ac:dyDescent="0.25">
      <c r="A470" t="s">
        <v>367</v>
      </c>
      <c r="B470" t="str">
        <f>VLOOKUP(Counties_by_State_Code[[#This Row],[State_Code]],Territory_by_Code[],2)</f>
        <v>Georgia</v>
      </c>
      <c r="C470" t="s">
        <v>415</v>
      </c>
      <c r="D470">
        <v>957062</v>
      </c>
      <c r="E470">
        <v>433</v>
      </c>
    </row>
    <row r="471" spans="1:5" x14ac:dyDescent="0.25">
      <c r="A471" t="s">
        <v>367</v>
      </c>
      <c r="B471" t="str">
        <f>VLOOKUP(Counties_by_State_Code[[#This Row],[State_Code]],Territory_by_Code[],2)</f>
        <v>Georgia</v>
      </c>
      <c r="C471" t="s">
        <v>416</v>
      </c>
      <c r="D471">
        <v>46031</v>
      </c>
      <c r="E471">
        <v>278</v>
      </c>
    </row>
    <row r="472" spans="1:5" x14ac:dyDescent="0.25">
      <c r="A472" t="s">
        <v>367</v>
      </c>
      <c r="B472" t="str">
        <f>VLOOKUP(Counties_by_State_Code[[#This Row],[State_Code]],Territory_by_Code[],2)</f>
        <v>Georgia</v>
      </c>
      <c r="C472" t="s">
        <v>417</v>
      </c>
      <c r="D472">
        <v>203136</v>
      </c>
      <c r="E472">
        <v>394</v>
      </c>
    </row>
    <row r="473" spans="1:5" x14ac:dyDescent="0.25">
      <c r="A473" t="s">
        <v>367</v>
      </c>
      <c r="B473" t="str">
        <f>VLOOKUP(Counties_by_State_Code[[#This Row],[State_Code]],Territory_by_Code[],2)</f>
        <v>Georgia</v>
      </c>
      <c r="C473" t="s">
        <v>418</v>
      </c>
      <c r="D473">
        <v>8735</v>
      </c>
      <c r="E473">
        <v>473</v>
      </c>
    </row>
    <row r="474" spans="1:5" x14ac:dyDescent="0.25">
      <c r="A474" t="s">
        <v>367</v>
      </c>
      <c r="B474" t="str">
        <f>VLOOKUP(Counties_by_State_Code[[#This Row],[State_Code]],Territory_by_Code[],2)</f>
        <v>Georgia</v>
      </c>
      <c r="C474" t="s">
        <v>419</v>
      </c>
      <c r="D474">
        <v>29919</v>
      </c>
      <c r="E474">
        <v>282</v>
      </c>
    </row>
    <row r="475" spans="1:5" x14ac:dyDescent="0.25">
      <c r="A475" t="s">
        <v>367</v>
      </c>
      <c r="B475" t="str">
        <f>VLOOKUP(Counties_by_State_Code[[#This Row],[State_Code]],Territory_by_Code[],2)</f>
        <v>Georgia</v>
      </c>
      <c r="C475" t="s">
        <v>420</v>
      </c>
      <c r="D475">
        <v>34668</v>
      </c>
      <c r="E475">
        <v>464</v>
      </c>
    </row>
    <row r="476" spans="1:5" x14ac:dyDescent="0.25">
      <c r="A476" t="s">
        <v>367</v>
      </c>
      <c r="B476" t="str">
        <f>VLOOKUP(Counties_by_State_Code[[#This Row],[State_Code]],Territory_by_Code[],2)</f>
        <v>Georgia</v>
      </c>
      <c r="C476" t="s">
        <v>421</v>
      </c>
      <c r="D476">
        <v>25828</v>
      </c>
      <c r="E476">
        <v>232</v>
      </c>
    </row>
    <row r="477" spans="1:5" x14ac:dyDescent="0.25">
      <c r="A477" t="s">
        <v>367</v>
      </c>
      <c r="B477" t="str">
        <f>VLOOKUP(Counties_by_State_Code[[#This Row],[State_Code]],Territory_by_Code[],2)</f>
        <v>Georgia</v>
      </c>
      <c r="C477" t="s">
        <v>422</v>
      </c>
      <c r="D477">
        <v>11412</v>
      </c>
      <c r="E477">
        <v>296</v>
      </c>
    </row>
    <row r="478" spans="1:5" x14ac:dyDescent="0.25">
      <c r="A478" t="s">
        <v>367</v>
      </c>
      <c r="B478" t="str">
        <f>VLOOKUP(Counties_by_State_Code[[#This Row],[State_Code]],Territory_by_Code[],2)</f>
        <v>Georgia</v>
      </c>
      <c r="C478" t="s">
        <v>34</v>
      </c>
      <c r="D478">
        <v>240712</v>
      </c>
      <c r="E478">
        <v>323</v>
      </c>
    </row>
    <row r="479" spans="1:5" x14ac:dyDescent="0.25">
      <c r="A479" t="s">
        <v>367</v>
      </c>
      <c r="B479" t="str">
        <f>VLOOKUP(Counties_by_State_Code[[#This Row],[State_Code]],Territory_by_Code[],2)</f>
        <v>Georgia</v>
      </c>
      <c r="C479" t="s">
        <v>35</v>
      </c>
      <c r="D479">
        <v>163633</v>
      </c>
      <c r="E479">
        <v>377</v>
      </c>
    </row>
    <row r="480" spans="1:5" x14ac:dyDescent="0.25">
      <c r="A480" t="s">
        <v>367</v>
      </c>
      <c r="B480" t="str">
        <f>VLOOKUP(Counties_by_State_Code[[#This Row],[State_Code]],Territory_by_Code[],2)</f>
        <v>Georgia</v>
      </c>
      <c r="C480" t="s">
        <v>423</v>
      </c>
      <c r="D480">
        <v>9666</v>
      </c>
      <c r="E480">
        <v>357</v>
      </c>
    </row>
    <row r="481" spans="1:5" x14ac:dyDescent="0.25">
      <c r="A481" t="s">
        <v>367</v>
      </c>
      <c r="B481" t="str">
        <f>VLOOKUP(Counties_by_State_Code[[#This Row],[State_Code]],Territory_by_Code[],2)</f>
        <v>Georgia</v>
      </c>
      <c r="C481" t="s">
        <v>36</v>
      </c>
      <c r="D481">
        <v>75907</v>
      </c>
      <c r="E481">
        <v>342</v>
      </c>
    </row>
    <row r="482" spans="1:5" x14ac:dyDescent="0.25">
      <c r="A482" t="s">
        <v>367</v>
      </c>
      <c r="B482" t="str">
        <f>VLOOKUP(Counties_by_State_Code[[#This Row],[State_Code]],Territory_by_Code[],2)</f>
        <v>Georgia</v>
      </c>
      <c r="C482" t="s">
        <v>424</v>
      </c>
      <c r="D482">
        <v>14588</v>
      </c>
      <c r="E482">
        <v>370</v>
      </c>
    </row>
    <row r="483" spans="1:5" x14ac:dyDescent="0.25">
      <c r="A483" t="s">
        <v>367</v>
      </c>
      <c r="B483" t="str">
        <f>VLOOKUP(Counties_by_State_Code[[#This Row],[State_Code]],Territory_by_Code[],2)</f>
        <v>Georgia</v>
      </c>
      <c r="C483" t="s">
        <v>425</v>
      </c>
      <c r="D483">
        <v>14779</v>
      </c>
      <c r="E483">
        <v>333</v>
      </c>
    </row>
    <row r="484" spans="1:5" x14ac:dyDescent="0.25">
      <c r="A484" t="s">
        <v>367</v>
      </c>
      <c r="B484" t="str">
        <f>VLOOKUP(Counties_by_State_Code[[#This Row],[State_Code]],Territory_by_Code[],2)</f>
        <v>Georgia</v>
      </c>
      <c r="C484" t="s">
        <v>37</v>
      </c>
      <c r="D484">
        <v>15709</v>
      </c>
      <c r="E484">
        <v>528</v>
      </c>
    </row>
    <row r="485" spans="1:5" x14ac:dyDescent="0.25">
      <c r="A485" t="s">
        <v>367</v>
      </c>
      <c r="B485" t="str">
        <f>VLOOKUP(Counties_by_State_Code[[#This Row],[State_Code]],Territory_by_Code[],2)</f>
        <v>Georgia</v>
      </c>
      <c r="C485" t="s">
        <v>426</v>
      </c>
      <c r="D485">
        <v>8674</v>
      </c>
      <c r="E485">
        <v>350</v>
      </c>
    </row>
    <row r="486" spans="1:5" x14ac:dyDescent="0.25">
      <c r="A486" t="s">
        <v>367</v>
      </c>
      <c r="B486" t="str">
        <f>VLOOKUP(Counties_by_State_Code[[#This Row],[State_Code]],Territory_by_Code[],2)</f>
        <v>Georgia</v>
      </c>
      <c r="C486" t="s">
        <v>149</v>
      </c>
      <c r="D486">
        <v>9189</v>
      </c>
      <c r="E486">
        <v>304</v>
      </c>
    </row>
    <row r="487" spans="1:5" x14ac:dyDescent="0.25">
      <c r="A487" t="s">
        <v>367</v>
      </c>
      <c r="B487" t="str">
        <f>VLOOKUP(Counties_by_State_Code[[#This Row],[State_Code]],Territory_by_Code[],2)</f>
        <v>Georgia</v>
      </c>
      <c r="C487" t="s">
        <v>427</v>
      </c>
      <c r="D487">
        <v>28347</v>
      </c>
      <c r="E487">
        <v>394</v>
      </c>
    </row>
    <row r="488" spans="1:5" x14ac:dyDescent="0.25">
      <c r="A488" t="s">
        <v>367</v>
      </c>
      <c r="B488" t="str">
        <f>VLOOKUP(Counties_by_State_Code[[#This Row],[State_Code]],Territory_by_Code[],2)</f>
        <v>Georgia</v>
      </c>
      <c r="C488" t="s">
        <v>38</v>
      </c>
      <c r="D488">
        <v>18500</v>
      </c>
      <c r="E488">
        <v>185</v>
      </c>
    </row>
    <row r="489" spans="1:5" x14ac:dyDescent="0.25">
      <c r="A489" t="s">
        <v>367</v>
      </c>
      <c r="B489" t="str">
        <f>VLOOKUP(Counties_by_State_Code[[#This Row],[State_Code]],Territory_by_Code[],2)</f>
        <v>Georgia</v>
      </c>
      <c r="C489" t="s">
        <v>428</v>
      </c>
      <c r="D489">
        <v>9877</v>
      </c>
      <c r="E489">
        <v>187</v>
      </c>
    </row>
    <row r="490" spans="1:5" x14ac:dyDescent="0.25">
      <c r="A490" t="s">
        <v>367</v>
      </c>
      <c r="B490" t="str">
        <f>VLOOKUP(Counties_by_State_Code[[#This Row],[State_Code]],Territory_by_Code[],2)</f>
        <v>Georgia</v>
      </c>
      <c r="C490" t="s">
        <v>429</v>
      </c>
      <c r="D490">
        <v>49570</v>
      </c>
      <c r="E490">
        <v>813</v>
      </c>
    </row>
    <row r="491" spans="1:5" x14ac:dyDescent="0.25">
      <c r="A491" t="s">
        <v>367</v>
      </c>
      <c r="B491" t="str">
        <f>VLOOKUP(Counties_by_State_Code[[#This Row],[State_Code]],Territory_by_Code[],2)</f>
        <v>Georgia</v>
      </c>
      <c r="C491" t="s">
        <v>41</v>
      </c>
      <c r="D491">
        <v>33163</v>
      </c>
      <c r="E491">
        <v>356</v>
      </c>
    </row>
    <row r="492" spans="1:5" x14ac:dyDescent="0.25">
      <c r="A492" t="s">
        <v>367</v>
      </c>
      <c r="B492" t="str">
        <f>VLOOKUP(Counties_by_State_Code[[#This Row],[State_Code]],Territory_by_Code[],2)</f>
        <v>Georgia</v>
      </c>
      <c r="C492" t="s">
        <v>344</v>
      </c>
      <c r="D492">
        <v>65256</v>
      </c>
      <c r="E492">
        <v>519</v>
      </c>
    </row>
    <row r="493" spans="1:5" x14ac:dyDescent="0.25">
      <c r="A493" t="s">
        <v>367</v>
      </c>
      <c r="B493" t="str">
        <f>VLOOKUP(Counties_by_State_Code[[#This Row],[State_Code]],Territory_by_Code[],2)</f>
        <v>Georgia</v>
      </c>
      <c r="C493" t="s">
        <v>151</v>
      </c>
      <c r="D493">
        <v>7690</v>
      </c>
      <c r="E493">
        <v>211</v>
      </c>
    </row>
    <row r="494" spans="1:5" x14ac:dyDescent="0.25">
      <c r="A494" t="s">
        <v>367</v>
      </c>
      <c r="B494" t="str">
        <f>VLOOKUP(Counties_by_State_Code[[#This Row],[State_Code]],Territory_by_Code[],2)</f>
        <v>Georgia</v>
      </c>
      <c r="C494" t="s">
        <v>430</v>
      </c>
      <c r="D494">
        <v>16168</v>
      </c>
      <c r="E494">
        <v>401</v>
      </c>
    </row>
    <row r="495" spans="1:5" x14ac:dyDescent="0.25">
      <c r="A495" t="s">
        <v>367</v>
      </c>
      <c r="B495" t="str">
        <f>VLOOKUP(Counties_by_State_Code[[#This Row],[State_Code]],Territory_by_Code[],2)</f>
        <v>Georgia</v>
      </c>
      <c r="C495" t="s">
        <v>43</v>
      </c>
      <c r="D495">
        <v>118251</v>
      </c>
      <c r="E495">
        <v>504</v>
      </c>
    </row>
    <row r="496" spans="1:5" x14ac:dyDescent="0.25">
      <c r="A496" t="s">
        <v>367</v>
      </c>
      <c r="B496" t="str">
        <f>VLOOKUP(Counties_by_State_Code[[#This Row],[State_Code]],Territory_by_Code[],2)</f>
        <v>Georgia</v>
      </c>
      <c r="C496" t="s">
        <v>431</v>
      </c>
      <c r="D496">
        <v>33488</v>
      </c>
      <c r="E496">
        <v>284</v>
      </c>
    </row>
    <row r="497" spans="1:5" x14ac:dyDescent="0.25">
      <c r="A497" t="s">
        <v>367</v>
      </c>
      <c r="B497" t="str">
        <f>VLOOKUP(Counties_by_State_Code[[#This Row],[State_Code]],Territory_by_Code[],2)</f>
        <v>Georgia</v>
      </c>
      <c r="C497" t="s">
        <v>44</v>
      </c>
      <c r="D497">
        <v>12082</v>
      </c>
      <c r="E497">
        <v>367</v>
      </c>
    </row>
    <row r="498" spans="1:5" x14ac:dyDescent="0.25">
      <c r="A498" t="s">
        <v>367</v>
      </c>
      <c r="B498" t="str">
        <f>VLOOKUP(Counties_by_State_Code[[#This Row],[State_Code]],Territory_by_Code[],2)</f>
        <v>Georgia</v>
      </c>
      <c r="C498" t="s">
        <v>45</v>
      </c>
      <c r="D498">
        <v>30120</v>
      </c>
      <c r="E498">
        <v>260</v>
      </c>
    </row>
    <row r="499" spans="1:5" x14ac:dyDescent="0.25">
      <c r="A499" t="s">
        <v>367</v>
      </c>
      <c r="B499" t="str">
        <f>VLOOKUP(Counties_by_State_Code[[#This Row],[State_Code]],Territory_by_Code[],2)</f>
        <v>Georgia</v>
      </c>
      <c r="C499" t="s">
        <v>47</v>
      </c>
      <c r="D499">
        <v>7498</v>
      </c>
      <c r="E499">
        <v>434</v>
      </c>
    </row>
    <row r="500" spans="1:5" x14ac:dyDescent="0.25">
      <c r="A500" t="s">
        <v>367</v>
      </c>
      <c r="B500" t="str">
        <f>VLOOKUP(Counties_by_State_Code[[#This Row],[State_Code]],Territory_by_Code[],2)</f>
        <v>Georgia</v>
      </c>
      <c r="C500" t="s">
        <v>432</v>
      </c>
      <c r="D500">
        <v>21632</v>
      </c>
      <c r="E500">
        <v>403</v>
      </c>
    </row>
    <row r="501" spans="1:5" x14ac:dyDescent="0.25">
      <c r="A501" t="s">
        <v>367</v>
      </c>
      <c r="B501" t="str">
        <f>VLOOKUP(Counties_by_State_Code[[#This Row],[State_Code]],Territory_by_Code[],2)</f>
        <v>Georgia</v>
      </c>
      <c r="C501" t="s">
        <v>433</v>
      </c>
      <c r="D501">
        <v>10975</v>
      </c>
      <c r="E501">
        <v>427</v>
      </c>
    </row>
    <row r="502" spans="1:5" x14ac:dyDescent="0.25">
      <c r="A502" t="s">
        <v>367</v>
      </c>
      <c r="B502" t="str">
        <f>VLOOKUP(Counties_by_State_Code[[#This Row],[State_Code]],Territory_by_Code[],2)</f>
        <v>Georgia</v>
      </c>
      <c r="C502" t="s">
        <v>434</v>
      </c>
      <c r="D502">
        <v>20613</v>
      </c>
      <c r="E502">
        <v>503</v>
      </c>
    </row>
    <row r="503" spans="1:5" x14ac:dyDescent="0.25">
      <c r="A503" t="s">
        <v>367</v>
      </c>
      <c r="B503" t="str">
        <f>VLOOKUP(Counties_by_State_Code[[#This Row],[State_Code]],Territory_by_Code[],2)</f>
        <v>Georgia</v>
      </c>
      <c r="C503" t="s">
        <v>155</v>
      </c>
      <c r="D503">
        <v>6000</v>
      </c>
      <c r="E503">
        <v>283</v>
      </c>
    </row>
    <row r="504" spans="1:5" x14ac:dyDescent="0.25">
      <c r="A504" t="s">
        <v>367</v>
      </c>
      <c r="B504" t="str">
        <f>VLOOKUP(Counties_by_State_Code[[#This Row],[State_Code]],Territory_by_Code[],2)</f>
        <v>Georgia</v>
      </c>
      <c r="C504" t="s">
        <v>435</v>
      </c>
      <c r="D504">
        <v>21755</v>
      </c>
      <c r="E504">
        <v>512</v>
      </c>
    </row>
    <row r="505" spans="1:5" x14ac:dyDescent="0.25">
      <c r="A505" t="s">
        <v>367</v>
      </c>
      <c r="B505" t="str">
        <f>VLOOKUP(Counties_by_State_Code[[#This Row],[State_Code]],Territory_by_Code[],2)</f>
        <v>Georgia</v>
      </c>
      <c r="C505" t="s">
        <v>50</v>
      </c>
      <c r="D505">
        <v>27957</v>
      </c>
      <c r="E505">
        <v>396</v>
      </c>
    </row>
    <row r="506" spans="1:5" x14ac:dyDescent="0.25">
      <c r="A506" t="s">
        <v>367</v>
      </c>
      <c r="B506" t="str">
        <f>VLOOKUP(Counties_by_State_Code[[#This Row],[State_Code]],Territory_by_Code[],2)</f>
        <v>Georgia</v>
      </c>
      <c r="C506" t="s">
        <v>51</v>
      </c>
      <c r="D506">
        <v>8610</v>
      </c>
      <c r="E506">
        <v>245</v>
      </c>
    </row>
    <row r="507" spans="1:5" x14ac:dyDescent="0.25">
      <c r="A507" t="s">
        <v>367</v>
      </c>
      <c r="B507" t="str">
        <f>VLOOKUP(Counties_by_State_Code[[#This Row],[State_Code]],Territory_by_Code[],2)</f>
        <v>Georgia</v>
      </c>
      <c r="C507" t="s">
        <v>52</v>
      </c>
      <c r="D507">
        <v>20097</v>
      </c>
      <c r="E507">
        <v>350</v>
      </c>
    </row>
    <row r="508" spans="1:5" x14ac:dyDescent="0.25">
      <c r="A508" t="s">
        <v>367</v>
      </c>
      <c r="B508" t="str">
        <f>VLOOKUP(Counties_by_State_Code[[#This Row],[State_Code]],Territory_by_Code[],2)</f>
        <v>Georgia</v>
      </c>
      <c r="C508" t="s">
        <v>436</v>
      </c>
      <c r="D508">
        <v>39973</v>
      </c>
      <c r="E508">
        <v>344</v>
      </c>
    </row>
    <row r="509" spans="1:5" x14ac:dyDescent="0.25">
      <c r="A509" t="s">
        <v>367</v>
      </c>
      <c r="B509" t="str">
        <f>VLOOKUP(Counties_by_State_Code[[#This Row],[State_Code]],Territory_by_Code[],2)</f>
        <v>Georgia</v>
      </c>
      <c r="C509" t="s">
        <v>437</v>
      </c>
      <c r="D509">
        <v>206922</v>
      </c>
      <c r="E509">
        <v>216</v>
      </c>
    </row>
    <row r="510" spans="1:5" x14ac:dyDescent="0.25">
      <c r="A510" t="s">
        <v>367</v>
      </c>
      <c r="B510" t="str">
        <f>VLOOKUP(Counties_by_State_Code[[#This Row],[State_Code]],Territory_by_Code[],2)</f>
        <v>Georgia</v>
      </c>
      <c r="C510" t="s">
        <v>158</v>
      </c>
      <c r="D510">
        <v>112483</v>
      </c>
      <c r="E510">
        <v>276</v>
      </c>
    </row>
    <row r="511" spans="1:5" x14ac:dyDescent="0.25">
      <c r="A511" t="s">
        <v>367</v>
      </c>
      <c r="B511" t="str">
        <f>VLOOKUP(Counties_by_State_Code[[#This Row],[State_Code]],Territory_by_Code[],2)</f>
        <v>Georgia</v>
      </c>
      <c r="C511" t="s">
        <v>438</v>
      </c>
      <c r="D511">
        <v>41799</v>
      </c>
      <c r="E511">
        <v>186</v>
      </c>
    </row>
    <row r="512" spans="1:5" x14ac:dyDescent="0.25">
      <c r="A512" t="s">
        <v>367</v>
      </c>
      <c r="B512" t="str">
        <f>VLOOKUP(Counties_by_State_Code[[#This Row],[State_Code]],Territory_by_Code[],2)</f>
        <v>Georgia</v>
      </c>
      <c r="C512" t="s">
        <v>439</v>
      </c>
      <c r="D512">
        <v>14825</v>
      </c>
      <c r="E512">
        <v>441</v>
      </c>
    </row>
    <row r="513" spans="1:5" x14ac:dyDescent="0.25">
      <c r="A513" t="s">
        <v>367</v>
      </c>
      <c r="B513" t="str">
        <f>VLOOKUP(Counties_by_State_Code[[#This Row],[State_Code]],Territory_by_Code[],2)</f>
        <v>Georgia</v>
      </c>
      <c r="C513" t="s">
        <v>440</v>
      </c>
      <c r="D513">
        <v>168661</v>
      </c>
      <c r="E513">
        <v>314</v>
      </c>
    </row>
    <row r="514" spans="1:5" x14ac:dyDescent="0.25">
      <c r="A514" t="s">
        <v>367</v>
      </c>
      <c r="B514" t="str">
        <f>VLOOKUP(Counties_by_State_Code[[#This Row],[State_Code]],Territory_by_Code[],2)</f>
        <v>Georgia</v>
      </c>
      <c r="C514" t="s">
        <v>441</v>
      </c>
      <c r="D514">
        <v>27981</v>
      </c>
      <c r="E514">
        <v>151</v>
      </c>
    </row>
    <row r="515" spans="1:5" x14ac:dyDescent="0.25">
      <c r="A515" t="s">
        <v>367</v>
      </c>
      <c r="B515" t="str">
        <f>VLOOKUP(Counties_by_State_Code[[#This Row],[State_Code]],Territory_by_Code[],2)</f>
        <v>Georgia</v>
      </c>
      <c r="C515" t="s">
        <v>54</v>
      </c>
      <c r="D515">
        <v>33216</v>
      </c>
      <c r="E515">
        <v>232</v>
      </c>
    </row>
    <row r="516" spans="1:5" x14ac:dyDescent="0.25">
      <c r="A516" t="s">
        <v>367</v>
      </c>
      <c r="B516" t="str">
        <f>VLOOKUP(Counties_by_State_Code[[#This Row],[State_Code]],Territory_by_Code[],2)</f>
        <v>Georgia</v>
      </c>
      <c r="C516" t="s">
        <v>442</v>
      </c>
      <c r="D516">
        <v>19716</v>
      </c>
      <c r="E516">
        <v>343</v>
      </c>
    </row>
    <row r="517" spans="1:5" x14ac:dyDescent="0.25">
      <c r="A517" t="s">
        <v>367</v>
      </c>
      <c r="B517" t="str">
        <f>VLOOKUP(Counties_by_State_Code[[#This Row],[State_Code]],Territory_by_Code[],2)</f>
        <v>Georgia</v>
      </c>
      <c r="C517" t="s">
        <v>55</v>
      </c>
      <c r="D517">
        <v>18889</v>
      </c>
      <c r="E517">
        <v>218</v>
      </c>
    </row>
    <row r="518" spans="1:5" x14ac:dyDescent="0.25">
      <c r="A518" t="s">
        <v>367</v>
      </c>
      <c r="B518" t="str">
        <f>VLOOKUP(Counties_by_State_Code[[#This Row],[State_Code]],Territory_by_Code[],2)</f>
        <v>Georgia</v>
      </c>
      <c r="C518" t="s">
        <v>162</v>
      </c>
      <c r="D518">
        <v>42853</v>
      </c>
      <c r="E518">
        <v>311</v>
      </c>
    </row>
    <row r="519" spans="1:5" x14ac:dyDescent="0.25">
      <c r="A519" t="s">
        <v>367</v>
      </c>
      <c r="B519" t="str">
        <f>VLOOKUP(Counties_by_State_Code[[#This Row],[State_Code]],Territory_by_Code[],2)</f>
        <v>Georgia</v>
      </c>
      <c r="C519" t="s">
        <v>165</v>
      </c>
      <c r="D519">
        <v>9855</v>
      </c>
      <c r="E519">
        <v>247</v>
      </c>
    </row>
    <row r="520" spans="1:5" x14ac:dyDescent="0.25">
      <c r="A520" t="s">
        <v>367</v>
      </c>
      <c r="B520" t="str">
        <f>VLOOKUP(Counties_by_State_Code[[#This Row],[State_Code]],Territory_by_Code[],2)</f>
        <v>Georgia</v>
      </c>
      <c r="C520" t="s">
        <v>355</v>
      </c>
      <c r="D520">
        <v>22047</v>
      </c>
      <c r="E520">
        <v>344</v>
      </c>
    </row>
    <row r="521" spans="1:5" x14ac:dyDescent="0.25">
      <c r="A521" t="s">
        <v>367</v>
      </c>
      <c r="B521" t="str">
        <f>VLOOKUP(Counties_by_State_Code[[#This Row],[State_Code]],Territory_by_Code[],2)</f>
        <v>Georgia</v>
      </c>
      <c r="C521" t="s">
        <v>443</v>
      </c>
      <c r="D521">
        <v>2235</v>
      </c>
      <c r="E521">
        <v>152</v>
      </c>
    </row>
    <row r="522" spans="1:5" x14ac:dyDescent="0.25">
      <c r="A522" t="s">
        <v>367</v>
      </c>
      <c r="B522" t="str">
        <f>VLOOKUP(Counties_by_State_Code[[#This Row],[State_Code]],Territory_by_Code[],2)</f>
        <v>Georgia</v>
      </c>
      <c r="C522" t="s">
        <v>444</v>
      </c>
      <c r="D522">
        <v>16883</v>
      </c>
      <c r="E522">
        <v>371</v>
      </c>
    </row>
    <row r="523" spans="1:5" x14ac:dyDescent="0.25">
      <c r="A523" t="s">
        <v>367</v>
      </c>
      <c r="B523" t="str">
        <f>VLOOKUP(Counties_by_State_Code[[#This Row],[State_Code]],Territory_by_Code[],2)</f>
        <v>Georgia</v>
      </c>
      <c r="C523" t="s">
        <v>56</v>
      </c>
      <c r="D523">
        <v>6425</v>
      </c>
      <c r="E523">
        <v>429</v>
      </c>
    </row>
    <row r="524" spans="1:5" x14ac:dyDescent="0.25">
      <c r="A524" t="s">
        <v>367</v>
      </c>
      <c r="B524" t="str">
        <f>VLOOKUP(Counties_by_State_Code[[#This Row],[State_Code]],Territory_by_Code[],2)</f>
        <v>Georgia</v>
      </c>
      <c r="C524" t="s">
        <v>445</v>
      </c>
      <c r="D524">
        <v>206607</v>
      </c>
      <c r="E524">
        <v>324</v>
      </c>
    </row>
    <row r="525" spans="1:5" x14ac:dyDescent="0.25">
      <c r="A525" t="s">
        <v>367</v>
      </c>
      <c r="B525" t="str">
        <f>VLOOKUP(Counties_by_State_Code[[#This Row],[State_Code]],Territory_by_Code[],2)</f>
        <v>Georgia</v>
      </c>
      <c r="C525" t="s">
        <v>446</v>
      </c>
      <c r="D525">
        <v>93570</v>
      </c>
      <c r="E525">
        <v>131</v>
      </c>
    </row>
    <row r="526" spans="1:5" x14ac:dyDescent="0.25">
      <c r="A526" t="s">
        <v>367</v>
      </c>
      <c r="B526" t="str">
        <f>VLOOKUP(Counties_by_State_Code[[#This Row],[State_Code]],Territory_by_Code[],2)</f>
        <v>Georgia</v>
      </c>
      <c r="C526" t="s">
        <v>447</v>
      </c>
      <c r="D526">
        <v>4547</v>
      </c>
      <c r="E526">
        <v>168</v>
      </c>
    </row>
    <row r="527" spans="1:5" x14ac:dyDescent="0.25">
      <c r="A527" t="s">
        <v>367</v>
      </c>
      <c r="B527" t="str">
        <f>VLOOKUP(Counties_by_State_Code[[#This Row],[State_Code]],Territory_by_Code[],2)</f>
        <v>Georgia</v>
      </c>
      <c r="C527" t="s">
        <v>448</v>
      </c>
      <c r="D527">
        <v>14067</v>
      </c>
      <c r="E527">
        <v>648</v>
      </c>
    </row>
    <row r="528" spans="1:5" x14ac:dyDescent="0.25">
      <c r="A528" t="s">
        <v>367</v>
      </c>
      <c r="B528" t="str">
        <f>VLOOKUP(Counties_by_State_Code[[#This Row],[State_Code]],Territory_by_Code[],2)</f>
        <v>Georgia</v>
      </c>
      <c r="C528" t="s">
        <v>360</v>
      </c>
      <c r="D528">
        <v>9147</v>
      </c>
      <c r="E528">
        <v>238</v>
      </c>
    </row>
    <row r="529" spans="1:5" x14ac:dyDescent="0.25">
      <c r="A529" t="s">
        <v>367</v>
      </c>
      <c r="B529" t="str">
        <f>VLOOKUP(Counties_by_State_Code[[#This Row],[State_Code]],Territory_by_Code[],2)</f>
        <v>Georgia</v>
      </c>
      <c r="C529" t="s">
        <v>449</v>
      </c>
      <c r="D529">
        <v>67306</v>
      </c>
      <c r="E529">
        <v>198</v>
      </c>
    </row>
    <row r="530" spans="1:5" x14ac:dyDescent="0.25">
      <c r="A530" t="s">
        <v>367</v>
      </c>
      <c r="B530" t="str">
        <f>VLOOKUP(Counties_by_State_Code[[#This Row],[State_Code]],Territory_by_Code[],2)</f>
        <v>Georgia</v>
      </c>
      <c r="C530" t="s">
        <v>450</v>
      </c>
      <c r="D530">
        <v>26784</v>
      </c>
      <c r="E530">
        <v>179</v>
      </c>
    </row>
    <row r="531" spans="1:5" x14ac:dyDescent="0.25">
      <c r="A531" t="s">
        <v>367</v>
      </c>
      <c r="B531" t="str">
        <f>VLOOKUP(Counties_by_State_Code[[#This Row],[State_Code]],Territory_by_Code[],2)</f>
        <v>Georgia</v>
      </c>
      <c r="C531" t="s">
        <v>451</v>
      </c>
      <c r="D531">
        <v>5314</v>
      </c>
      <c r="E531">
        <v>459</v>
      </c>
    </row>
    <row r="532" spans="1:5" x14ac:dyDescent="0.25">
      <c r="A532" t="s">
        <v>367</v>
      </c>
      <c r="B532" t="str">
        <f>VLOOKUP(Counties_by_State_Code[[#This Row],[State_Code]],Territory_by_Code[],2)</f>
        <v>Georgia</v>
      </c>
      <c r="C532" t="s">
        <v>60</v>
      </c>
      <c r="D532">
        <v>29616</v>
      </c>
      <c r="E532">
        <v>485</v>
      </c>
    </row>
    <row r="533" spans="1:5" x14ac:dyDescent="0.25">
      <c r="A533" t="s">
        <v>367</v>
      </c>
      <c r="B533" t="str">
        <f>VLOOKUP(Counties_by_State_Code[[#This Row],[State_Code]],Territory_by_Code[],2)</f>
        <v>Georgia</v>
      </c>
      <c r="C533" t="s">
        <v>452</v>
      </c>
      <c r="D533">
        <v>5733</v>
      </c>
      <c r="E533">
        <v>393</v>
      </c>
    </row>
    <row r="534" spans="1:5" x14ac:dyDescent="0.25">
      <c r="A534" t="s">
        <v>367</v>
      </c>
      <c r="B534" t="str">
        <f>VLOOKUP(Counties_by_State_Code[[#This Row],[State_Code]],Territory_by_Code[],2)</f>
        <v>Georgia</v>
      </c>
      <c r="C534" t="s">
        <v>453</v>
      </c>
      <c r="D534">
        <v>1559</v>
      </c>
      <c r="E534">
        <v>195</v>
      </c>
    </row>
    <row r="535" spans="1:5" x14ac:dyDescent="0.25">
      <c r="A535" t="s">
        <v>367</v>
      </c>
      <c r="B535" t="str">
        <f>VLOOKUP(Counties_by_State_Code[[#This Row],[State_Code]],Territory_by_Code[],2)</f>
        <v>Georgia</v>
      </c>
      <c r="C535" t="s">
        <v>454</v>
      </c>
      <c r="D535">
        <v>22842</v>
      </c>
      <c r="E535">
        <v>484</v>
      </c>
    </row>
    <row r="536" spans="1:5" x14ac:dyDescent="0.25">
      <c r="A536" t="s">
        <v>367</v>
      </c>
      <c r="B536" t="str">
        <f>VLOOKUP(Counties_by_State_Code[[#This Row],[State_Code]],Territory_by_Code[],2)</f>
        <v>Georgia</v>
      </c>
      <c r="C536" t="s">
        <v>362</v>
      </c>
      <c r="D536">
        <v>7816</v>
      </c>
      <c r="E536">
        <v>378</v>
      </c>
    </row>
    <row r="537" spans="1:5" x14ac:dyDescent="0.25">
      <c r="A537" t="s">
        <v>367</v>
      </c>
      <c r="B537" t="str">
        <f>VLOOKUP(Counties_by_State_Code[[#This Row],[State_Code]],Territory_by_Code[],2)</f>
        <v>Georgia</v>
      </c>
      <c r="C537" t="s">
        <v>455</v>
      </c>
      <c r="D537">
        <v>12477</v>
      </c>
      <c r="E537">
        <v>441</v>
      </c>
    </row>
    <row r="538" spans="1:5" x14ac:dyDescent="0.25">
      <c r="A538" t="s">
        <v>367</v>
      </c>
      <c r="B538" t="str">
        <f>VLOOKUP(Counties_by_State_Code[[#This Row],[State_Code]],Territory_by_Code[],2)</f>
        <v>Georgia</v>
      </c>
      <c r="C538" t="s">
        <v>456</v>
      </c>
      <c r="D538">
        <v>9185</v>
      </c>
      <c r="E538">
        <v>336</v>
      </c>
    </row>
    <row r="539" spans="1:5" x14ac:dyDescent="0.25">
      <c r="A539" t="s">
        <v>367</v>
      </c>
      <c r="B539" t="str">
        <f>VLOOKUP(Counties_by_State_Code[[#This Row],[State_Code]],Territory_by_Code[],2)</f>
        <v>Georgia</v>
      </c>
      <c r="C539" t="s">
        <v>457</v>
      </c>
      <c r="D539">
        <v>45798</v>
      </c>
      <c r="E539">
        <v>548</v>
      </c>
    </row>
    <row r="540" spans="1:5" x14ac:dyDescent="0.25">
      <c r="A540" t="s">
        <v>367</v>
      </c>
      <c r="B540" t="str">
        <f>VLOOKUP(Counties_by_State_Code[[#This Row],[State_Code]],Territory_by_Code[],2)</f>
        <v>Georgia</v>
      </c>
      <c r="C540" t="s">
        <v>458</v>
      </c>
      <c r="D540">
        <v>41344</v>
      </c>
      <c r="E540">
        <v>265</v>
      </c>
    </row>
    <row r="541" spans="1:5" x14ac:dyDescent="0.25">
      <c r="A541" t="s">
        <v>367</v>
      </c>
      <c r="B541" t="str">
        <f>VLOOKUP(Counties_by_State_Code[[#This Row],[State_Code]],Territory_by_Code[],2)</f>
        <v>Georgia</v>
      </c>
      <c r="C541" t="s">
        <v>459</v>
      </c>
      <c r="D541">
        <v>27030</v>
      </c>
      <c r="E541">
        <v>367</v>
      </c>
    </row>
    <row r="542" spans="1:5" x14ac:dyDescent="0.25">
      <c r="A542" t="s">
        <v>367</v>
      </c>
      <c r="B542" t="str">
        <f>VLOOKUP(Counties_by_State_Code[[#This Row],[State_Code]],Territory_by_Code[],2)</f>
        <v>Georgia</v>
      </c>
      <c r="C542" t="s">
        <v>460</v>
      </c>
      <c r="D542">
        <v>12493</v>
      </c>
      <c r="E542">
        <v>166</v>
      </c>
    </row>
    <row r="543" spans="1:5" x14ac:dyDescent="0.25">
      <c r="A543" t="s">
        <v>367</v>
      </c>
      <c r="B543" t="str">
        <f>VLOOKUP(Counties_by_State_Code[[#This Row],[State_Code]],Territory_by_Code[],2)</f>
        <v>Georgia</v>
      </c>
      <c r="C543" t="s">
        <v>461</v>
      </c>
      <c r="D543">
        <v>6406</v>
      </c>
      <c r="E543">
        <v>201</v>
      </c>
    </row>
    <row r="544" spans="1:5" x14ac:dyDescent="0.25">
      <c r="A544" t="s">
        <v>367</v>
      </c>
      <c r="B544" t="str">
        <f>VLOOKUP(Counties_by_State_Code[[#This Row],[State_Code]],Territory_by_Code[],2)</f>
        <v>Georgia</v>
      </c>
      <c r="C544" t="s">
        <v>462</v>
      </c>
      <c r="D544">
        <v>69426</v>
      </c>
      <c r="E544">
        <v>414</v>
      </c>
    </row>
    <row r="545" spans="1:5" x14ac:dyDescent="0.25">
      <c r="A545" t="s">
        <v>367</v>
      </c>
      <c r="B545" t="str">
        <f>VLOOKUP(Counties_by_State_Code[[#This Row],[State_Code]],Territory_by_Code[],2)</f>
        <v>Georgia</v>
      </c>
      <c r="C545" t="s">
        <v>463</v>
      </c>
      <c r="D545">
        <v>9006</v>
      </c>
      <c r="E545">
        <v>286</v>
      </c>
    </row>
    <row r="546" spans="1:5" x14ac:dyDescent="0.25">
      <c r="A546" t="s">
        <v>367</v>
      </c>
      <c r="B546" t="str">
        <f>VLOOKUP(Counties_by_State_Code[[#This Row],[State_Code]],Territory_by_Code[],2)</f>
        <v>Georgia</v>
      </c>
      <c r="C546" t="s">
        <v>464</v>
      </c>
      <c r="D546">
        <v>8022</v>
      </c>
      <c r="E546">
        <v>360</v>
      </c>
    </row>
    <row r="547" spans="1:5" x14ac:dyDescent="0.25">
      <c r="A547" t="s">
        <v>367</v>
      </c>
      <c r="B547" t="str">
        <f>VLOOKUP(Counties_by_State_Code[[#This Row],[State_Code]],Territory_by_Code[],2)</f>
        <v>Georgia</v>
      </c>
      <c r="C547" t="s">
        <v>174</v>
      </c>
      <c r="D547">
        <v>24632</v>
      </c>
      <c r="E547">
        <v>323</v>
      </c>
    </row>
    <row r="548" spans="1:5" x14ac:dyDescent="0.25">
      <c r="A548" t="s">
        <v>367</v>
      </c>
      <c r="B548" t="str">
        <f>VLOOKUP(Counties_by_State_Code[[#This Row],[State_Code]],Territory_by_Code[],2)</f>
        <v>Georgia</v>
      </c>
      <c r="C548" t="s">
        <v>465</v>
      </c>
      <c r="D548">
        <v>27700</v>
      </c>
      <c r="E548">
        <v>326</v>
      </c>
    </row>
    <row r="549" spans="1:5" x14ac:dyDescent="0.25">
      <c r="A549" t="s">
        <v>367</v>
      </c>
      <c r="B549" t="str">
        <f>VLOOKUP(Counties_by_State_Code[[#This Row],[State_Code]],Territory_by_Code[],2)</f>
        <v>Georgia</v>
      </c>
      <c r="C549" t="s">
        <v>64</v>
      </c>
      <c r="D549">
        <v>67654</v>
      </c>
      <c r="E549">
        <v>446</v>
      </c>
    </row>
    <row r="550" spans="1:5" x14ac:dyDescent="0.25">
      <c r="A550" t="s">
        <v>367</v>
      </c>
      <c r="B550" t="str">
        <f>VLOOKUP(Counties_by_State_Code[[#This Row],[State_Code]],Territory_by_Code[],2)</f>
        <v>Georgia</v>
      </c>
      <c r="C550" t="s">
        <v>365</v>
      </c>
      <c r="D550">
        <v>96673</v>
      </c>
      <c r="E550">
        <v>329</v>
      </c>
    </row>
    <row r="551" spans="1:5" x14ac:dyDescent="0.25">
      <c r="A551" t="s">
        <v>367</v>
      </c>
      <c r="B551" t="str">
        <f>VLOOKUP(Counties_by_State_Code[[#This Row],[State_Code]],Territory_by_Code[],2)</f>
        <v>Georgia</v>
      </c>
      <c r="C551" t="s">
        <v>466</v>
      </c>
      <c r="D551">
        <v>36251</v>
      </c>
      <c r="E551">
        <v>903</v>
      </c>
    </row>
    <row r="552" spans="1:5" x14ac:dyDescent="0.25">
      <c r="A552" t="s">
        <v>367</v>
      </c>
      <c r="B552" t="str">
        <f>VLOOKUP(Counties_by_State_Code[[#This Row],[State_Code]],Territory_by_Code[],2)</f>
        <v>Georgia</v>
      </c>
      <c r="C552" t="s">
        <v>467</v>
      </c>
      <c r="D552">
        <v>5215</v>
      </c>
      <c r="E552">
        <v>286</v>
      </c>
    </row>
    <row r="553" spans="1:5" x14ac:dyDescent="0.25">
      <c r="A553" t="s">
        <v>367</v>
      </c>
      <c r="B553" t="str">
        <f>VLOOKUP(Counties_by_State_Code[[#This Row],[State_Code]],Territory_by_Code[],2)</f>
        <v>Georgia</v>
      </c>
      <c r="C553" t="s">
        <v>65</v>
      </c>
      <c r="D553">
        <v>19988</v>
      </c>
      <c r="E553">
        <v>680</v>
      </c>
    </row>
    <row r="554" spans="1:5" x14ac:dyDescent="0.25">
      <c r="A554" t="s">
        <v>367</v>
      </c>
      <c r="B554" t="str">
        <f>VLOOKUP(Counties_by_State_Code[[#This Row],[State_Code]],Territory_by_Code[],2)</f>
        <v>Georgia</v>
      </c>
      <c r="C554" t="s">
        <v>468</v>
      </c>
      <c r="D554">
        <v>30144</v>
      </c>
      <c r="E554">
        <v>645</v>
      </c>
    </row>
    <row r="555" spans="1:5" x14ac:dyDescent="0.25">
      <c r="A555" t="s">
        <v>367</v>
      </c>
      <c r="B555" t="str">
        <f>VLOOKUP(Counties_by_State_Code[[#This Row],[State_Code]],Territory_by_Code[],2)</f>
        <v>Georgia</v>
      </c>
      <c r="C555" t="s">
        <v>469</v>
      </c>
      <c r="D555">
        <v>2348</v>
      </c>
      <c r="E555">
        <v>210</v>
      </c>
    </row>
    <row r="556" spans="1:5" x14ac:dyDescent="0.25">
      <c r="A556" t="s">
        <v>367</v>
      </c>
      <c r="B556" t="str">
        <f>VLOOKUP(Counties_by_State_Code[[#This Row],[State_Code]],Territory_by_Code[],2)</f>
        <v>Georgia</v>
      </c>
      <c r="C556" t="s">
        <v>470</v>
      </c>
      <c r="D556">
        <v>7471</v>
      </c>
      <c r="E556">
        <v>298</v>
      </c>
    </row>
    <row r="557" spans="1:5" x14ac:dyDescent="0.25">
      <c r="A557" t="s">
        <v>367</v>
      </c>
      <c r="B557" t="str">
        <f>VLOOKUP(Counties_by_State_Code[[#This Row],[State_Code]],Territory_by_Code[],2)</f>
        <v>Georgia</v>
      </c>
      <c r="C557" t="s">
        <v>176</v>
      </c>
      <c r="D557">
        <v>28003</v>
      </c>
      <c r="E557">
        <v>242</v>
      </c>
    </row>
    <row r="558" spans="1:5" x14ac:dyDescent="0.25">
      <c r="A558" t="s">
        <v>367</v>
      </c>
      <c r="B558" t="str">
        <f>VLOOKUP(Counties_by_State_Code[[#This Row],[State_Code]],Territory_by_Code[],2)</f>
        <v>Georgia</v>
      </c>
      <c r="C558" t="s">
        <v>471</v>
      </c>
      <c r="D558">
        <v>102864</v>
      </c>
      <c r="E558">
        <v>290</v>
      </c>
    </row>
    <row r="559" spans="1:5" x14ac:dyDescent="0.25">
      <c r="A559" t="s">
        <v>367</v>
      </c>
      <c r="B559" t="str">
        <f>VLOOKUP(Counties_by_State_Code[[#This Row],[State_Code]],Territory_by_Code[],2)</f>
        <v>Georgia</v>
      </c>
      <c r="C559" t="s">
        <v>66</v>
      </c>
      <c r="D559">
        <v>8766</v>
      </c>
      <c r="E559">
        <v>380</v>
      </c>
    </row>
    <row r="560" spans="1:5" x14ac:dyDescent="0.25">
      <c r="A560" t="s">
        <v>367</v>
      </c>
      <c r="B560" t="str">
        <f>VLOOKUP(Counties_by_State_Code[[#This Row],[State_Code]],Territory_by_Code[],2)</f>
        <v>Georgia</v>
      </c>
      <c r="C560" t="s">
        <v>472</v>
      </c>
      <c r="D560">
        <v>9565</v>
      </c>
      <c r="E560">
        <v>471</v>
      </c>
    </row>
    <row r="561" spans="1:5" x14ac:dyDescent="0.25">
      <c r="A561" t="s">
        <v>367</v>
      </c>
      <c r="B561" t="str">
        <f>VLOOKUP(Counties_by_State_Code[[#This Row],[State_Code]],Territory_by_Code[],2)</f>
        <v>Georgia</v>
      </c>
      <c r="C561" t="s">
        <v>473</v>
      </c>
      <c r="D561">
        <v>8877</v>
      </c>
      <c r="E561">
        <v>447</v>
      </c>
    </row>
    <row r="562" spans="1:5" x14ac:dyDescent="0.25">
      <c r="A562" t="s">
        <v>367</v>
      </c>
      <c r="B562" t="str">
        <f>VLOOKUP(Counties_by_State_Code[[#This Row],[State_Code]],Territory_by_Code[],2)</f>
        <v>Georgia</v>
      </c>
      <c r="C562" t="s">
        <v>474</v>
      </c>
      <c r="D562">
        <v>20784</v>
      </c>
      <c r="E562">
        <v>570</v>
      </c>
    </row>
    <row r="563" spans="1:5" x14ac:dyDescent="0.25">
      <c r="A563" t="s">
        <v>476</v>
      </c>
      <c r="B563" t="str">
        <f>VLOOKUP(Counties_by_State_Code[[#This Row],[State_Code]],Territory_by_Code[],2)</f>
        <v>Guam</v>
      </c>
      <c r="C563" t="s">
        <v>475</v>
      </c>
      <c r="D563">
        <v>162742</v>
      </c>
      <c r="E563">
        <v>210</v>
      </c>
    </row>
    <row r="564" spans="1:5" x14ac:dyDescent="0.25">
      <c r="A564" t="s">
        <v>478</v>
      </c>
      <c r="B564" t="str">
        <f>VLOOKUP(Counties_by_State_Code[[#This Row],[State_Code]],Territory_by_Code[],2)</f>
        <v>Hawaii</v>
      </c>
      <c r="C564" t="s">
        <v>477</v>
      </c>
      <c r="D564">
        <v>200629</v>
      </c>
      <c r="E564">
        <v>4028</v>
      </c>
    </row>
    <row r="565" spans="1:5" x14ac:dyDescent="0.25">
      <c r="A565" t="s">
        <v>478</v>
      </c>
      <c r="B565" t="str">
        <f>VLOOKUP(Counties_by_State_Code[[#This Row],[State_Code]],Territory_by_Code[],2)</f>
        <v>Hawaii</v>
      </c>
      <c r="C565" t="s">
        <v>479</v>
      </c>
      <c r="D565">
        <v>1016508</v>
      </c>
      <c r="E565">
        <v>597</v>
      </c>
    </row>
    <row r="566" spans="1:5" x14ac:dyDescent="0.25">
      <c r="A566" t="s">
        <v>478</v>
      </c>
      <c r="B566" t="str">
        <f>VLOOKUP(Counties_by_State_Code[[#This Row],[State_Code]],Territory_by_Code[],2)</f>
        <v>Hawaii</v>
      </c>
      <c r="C566" t="s">
        <v>480</v>
      </c>
      <c r="D566">
        <v>82</v>
      </c>
      <c r="E566">
        <v>5.2</v>
      </c>
    </row>
    <row r="567" spans="1:5" x14ac:dyDescent="0.25">
      <c r="A567" t="s">
        <v>478</v>
      </c>
      <c r="B567" t="str">
        <f>VLOOKUP(Counties_by_State_Code[[#This Row],[State_Code]],Territory_by_Code[],2)</f>
        <v>Hawaii</v>
      </c>
      <c r="C567" t="s">
        <v>481</v>
      </c>
      <c r="D567">
        <v>73298</v>
      </c>
      <c r="E567">
        <v>622</v>
      </c>
    </row>
    <row r="568" spans="1:5" x14ac:dyDescent="0.25">
      <c r="A568" t="s">
        <v>478</v>
      </c>
      <c r="B568" t="str">
        <f>VLOOKUP(Counties_by_State_Code[[#This Row],[State_Code]],Territory_by_Code[],2)</f>
        <v>Hawaii</v>
      </c>
      <c r="C568" t="s">
        <v>482</v>
      </c>
      <c r="D568">
        <v>164754</v>
      </c>
      <c r="E568">
        <v>1120</v>
      </c>
    </row>
    <row r="569" spans="1:5" x14ac:dyDescent="0.25">
      <c r="A569" t="s">
        <v>484</v>
      </c>
      <c r="B569" t="str">
        <f>VLOOKUP(Counties_by_State_Code[[#This Row],[State_Code]],Territory_by_Code[],2)</f>
        <v>Idaho</v>
      </c>
      <c r="C569" t="s">
        <v>483</v>
      </c>
      <c r="D569">
        <v>494967</v>
      </c>
      <c r="E569">
        <v>1055</v>
      </c>
    </row>
    <row r="570" spans="1:5" x14ac:dyDescent="0.25">
      <c r="A570" t="s">
        <v>484</v>
      </c>
      <c r="B570" t="str">
        <f>VLOOKUP(Counties_by_State_Code[[#This Row],[State_Code]],Territory_by_Code[],2)</f>
        <v>Idaho</v>
      </c>
      <c r="C570" t="s">
        <v>236</v>
      </c>
      <c r="D570">
        <v>4379</v>
      </c>
      <c r="E570">
        <v>1365</v>
      </c>
    </row>
    <row r="571" spans="1:5" x14ac:dyDescent="0.25">
      <c r="A571" t="s">
        <v>484</v>
      </c>
      <c r="B571" t="str">
        <f>VLOOKUP(Counties_by_State_Code[[#This Row],[State_Code]],Territory_by_Code[],2)</f>
        <v>Idaho</v>
      </c>
      <c r="C571" t="s">
        <v>485</v>
      </c>
      <c r="D571">
        <v>87018</v>
      </c>
      <c r="E571">
        <v>1113</v>
      </c>
    </row>
    <row r="572" spans="1:5" x14ac:dyDescent="0.25">
      <c r="A572" t="s">
        <v>484</v>
      </c>
      <c r="B572" t="str">
        <f>VLOOKUP(Counties_by_State_Code[[#This Row],[State_Code]],Territory_by_Code[],2)</f>
        <v>Idaho</v>
      </c>
      <c r="C572" t="s">
        <v>486</v>
      </c>
      <c r="D572">
        <v>6372</v>
      </c>
      <c r="E572">
        <v>971</v>
      </c>
    </row>
    <row r="573" spans="1:5" x14ac:dyDescent="0.25">
      <c r="A573" t="s">
        <v>484</v>
      </c>
      <c r="B573" t="str">
        <f>VLOOKUP(Counties_by_State_Code[[#This Row],[State_Code]],Territory_by_Code[],2)</f>
        <v>Idaho</v>
      </c>
      <c r="C573" t="s">
        <v>487</v>
      </c>
      <c r="D573">
        <v>9530</v>
      </c>
      <c r="E573">
        <v>776</v>
      </c>
    </row>
    <row r="574" spans="1:5" x14ac:dyDescent="0.25">
      <c r="A574" t="s">
        <v>484</v>
      </c>
      <c r="B574" t="str">
        <f>VLOOKUP(Counties_by_State_Code[[#This Row],[State_Code]],Territory_by_Code[],2)</f>
        <v>Idaho</v>
      </c>
      <c r="C574" t="s">
        <v>488</v>
      </c>
      <c r="D574">
        <v>47992</v>
      </c>
      <c r="E574">
        <v>2095</v>
      </c>
    </row>
    <row r="575" spans="1:5" x14ac:dyDescent="0.25">
      <c r="A575" t="s">
        <v>484</v>
      </c>
      <c r="B575" t="str">
        <f>VLOOKUP(Counties_by_State_Code[[#This Row],[State_Code]],Territory_by_Code[],2)</f>
        <v>Idaho</v>
      </c>
      <c r="C575" t="s">
        <v>489</v>
      </c>
      <c r="D575">
        <v>24272</v>
      </c>
      <c r="E575">
        <v>2645</v>
      </c>
    </row>
    <row r="576" spans="1:5" x14ac:dyDescent="0.25">
      <c r="A576" t="s">
        <v>484</v>
      </c>
      <c r="B576" t="str">
        <f>VLOOKUP(Counties_by_State_Code[[#This Row],[State_Code]],Territory_by_Code[],2)</f>
        <v>Idaho</v>
      </c>
      <c r="C576" t="s">
        <v>490</v>
      </c>
      <c r="D576">
        <v>7610</v>
      </c>
      <c r="E576">
        <v>1902</v>
      </c>
    </row>
    <row r="577" spans="1:5" x14ac:dyDescent="0.25">
      <c r="A577" t="s">
        <v>484</v>
      </c>
      <c r="B577" t="str">
        <f>VLOOKUP(Counties_by_State_Code[[#This Row],[State_Code]],Territory_by_Code[],2)</f>
        <v>Idaho</v>
      </c>
      <c r="C577" t="s">
        <v>491</v>
      </c>
      <c r="D577">
        <v>47110</v>
      </c>
      <c r="E577">
        <v>1738</v>
      </c>
    </row>
    <row r="578" spans="1:5" x14ac:dyDescent="0.25">
      <c r="A578" t="s">
        <v>484</v>
      </c>
      <c r="B578" t="str">
        <f>VLOOKUP(Counties_by_State_Code[[#This Row],[State_Code]],Territory_by_Code[],2)</f>
        <v>Idaho</v>
      </c>
      <c r="C578" t="s">
        <v>492</v>
      </c>
      <c r="D578">
        <v>123964</v>
      </c>
      <c r="E578">
        <v>1869</v>
      </c>
    </row>
    <row r="579" spans="1:5" x14ac:dyDescent="0.25">
      <c r="A579" t="s">
        <v>484</v>
      </c>
      <c r="B579" t="str">
        <f>VLOOKUP(Counties_by_State_Code[[#This Row],[State_Code]],Territory_by_Code[],2)</f>
        <v>Idaho</v>
      </c>
      <c r="C579" t="s">
        <v>493</v>
      </c>
      <c r="D579">
        <v>12056</v>
      </c>
      <c r="E579">
        <v>1269</v>
      </c>
    </row>
    <row r="580" spans="1:5" x14ac:dyDescent="0.25">
      <c r="A580" t="s">
        <v>484</v>
      </c>
      <c r="B580" t="str">
        <f>VLOOKUP(Counties_by_State_Code[[#This Row],[State_Code]],Territory_by_Code[],2)</f>
        <v>Idaho</v>
      </c>
      <c r="C580" t="s">
        <v>183</v>
      </c>
      <c r="D580">
        <v>2574</v>
      </c>
      <c r="E580">
        <v>2233</v>
      </c>
    </row>
    <row r="581" spans="1:5" x14ac:dyDescent="0.25">
      <c r="A581" t="s">
        <v>484</v>
      </c>
      <c r="B581" t="str">
        <f>VLOOKUP(Counties_by_State_Code[[#This Row],[State_Code]],Territory_by_Code[],2)</f>
        <v>Idaho</v>
      </c>
      <c r="C581" t="s">
        <v>494</v>
      </c>
      <c r="D581">
        <v>1077</v>
      </c>
      <c r="E581">
        <v>1077</v>
      </c>
    </row>
    <row r="582" spans="1:5" x14ac:dyDescent="0.25">
      <c r="A582" t="s">
        <v>484</v>
      </c>
      <c r="B582" t="str">
        <f>VLOOKUP(Counties_by_State_Code[[#This Row],[State_Code]],Territory_by_Code[],2)</f>
        <v>Idaho</v>
      </c>
      <c r="C582" t="s">
        <v>495</v>
      </c>
      <c r="D582">
        <v>231105</v>
      </c>
      <c r="E582">
        <v>590</v>
      </c>
    </row>
    <row r="583" spans="1:5" x14ac:dyDescent="0.25">
      <c r="A583" t="s">
        <v>484</v>
      </c>
      <c r="B583" t="str">
        <f>VLOOKUP(Counties_by_State_Code[[#This Row],[State_Code]],Territory_by_Code[],2)</f>
        <v>Idaho</v>
      </c>
      <c r="C583" t="s">
        <v>496</v>
      </c>
      <c r="D583">
        <v>7027</v>
      </c>
      <c r="E583">
        <v>1766</v>
      </c>
    </row>
    <row r="584" spans="1:5" x14ac:dyDescent="0.25">
      <c r="A584" t="s">
        <v>484</v>
      </c>
      <c r="B584" t="str">
        <f>VLOOKUP(Counties_by_State_Code[[#This Row],[State_Code]],Territory_by_Code[],2)</f>
        <v>Idaho</v>
      </c>
      <c r="C584" t="s">
        <v>497</v>
      </c>
      <c r="D584">
        <v>24655</v>
      </c>
      <c r="E584">
        <v>2567</v>
      </c>
    </row>
    <row r="585" spans="1:5" x14ac:dyDescent="0.25">
      <c r="A585" t="s">
        <v>484</v>
      </c>
      <c r="B585" t="str">
        <f>VLOOKUP(Counties_by_State_Code[[#This Row],[State_Code]],Territory_by_Code[],2)</f>
        <v>Idaho</v>
      </c>
      <c r="C585" t="s">
        <v>130</v>
      </c>
      <c r="D585">
        <v>790</v>
      </c>
      <c r="E585">
        <v>1765</v>
      </c>
    </row>
    <row r="586" spans="1:5" x14ac:dyDescent="0.25">
      <c r="A586" t="s">
        <v>484</v>
      </c>
      <c r="B586" t="str">
        <f>VLOOKUP(Counties_by_State_Code[[#This Row],[State_Code]],Territory_by_Code[],2)</f>
        <v>Idaho</v>
      </c>
      <c r="C586" t="s">
        <v>498</v>
      </c>
      <c r="D586">
        <v>8734</v>
      </c>
      <c r="E586">
        <v>2462</v>
      </c>
    </row>
    <row r="587" spans="1:5" x14ac:dyDescent="0.25">
      <c r="A587" t="s">
        <v>484</v>
      </c>
      <c r="B587" t="str">
        <f>VLOOKUP(Counties_by_State_Code[[#This Row],[State_Code]],Territory_by_Code[],2)</f>
        <v>Idaho</v>
      </c>
      <c r="C587" t="s">
        <v>251</v>
      </c>
      <c r="D587">
        <v>4275</v>
      </c>
      <c r="E587">
        <v>4926</v>
      </c>
    </row>
    <row r="588" spans="1:5" x14ac:dyDescent="0.25">
      <c r="A588" t="s">
        <v>484</v>
      </c>
      <c r="B588" t="str">
        <f>VLOOKUP(Counties_by_State_Code[[#This Row],[State_Code]],Territory_by_Code[],2)</f>
        <v>Idaho</v>
      </c>
      <c r="C588" t="s">
        <v>26</v>
      </c>
      <c r="D588">
        <v>28666</v>
      </c>
      <c r="E588">
        <v>3078</v>
      </c>
    </row>
    <row r="589" spans="1:5" x14ac:dyDescent="0.25">
      <c r="A589" t="s">
        <v>484</v>
      </c>
      <c r="B589" t="str">
        <f>VLOOKUP(Counties_by_State_Code[[#This Row],[State_Code]],Territory_by_Code[],2)</f>
        <v>Idaho</v>
      </c>
      <c r="C589" t="s">
        <v>30</v>
      </c>
      <c r="D589">
        <v>14194</v>
      </c>
      <c r="E589">
        <v>666</v>
      </c>
    </row>
    <row r="590" spans="1:5" x14ac:dyDescent="0.25">
      <c r="A590" t="s">
        <v>484</v>
      </c>
      <c r="B590" t="str">
        <f>VLOOKUP(Counties_by_State_Code[[#This Row],[State_Code]],Territory_by_Code[],2)</f>
        <v>Idaho</v>
      </c>
      <c r="C590" t="s">
        <v>259</v>
      </c>
      <c r="D590">
        <v>13388</v>
      </c>
      <c r="E590">
        <v>1867</v>
      </c>
    </row>
    <row r="591" spans="1:5" x14ac:dyDescent="0.25">
      <c r="A591" t="s">
        <v>484</v>
      </c>
      <c r="B591" t="str">
        <f>VLOOKUP(Counties_by_State_Code[[#This Row],[State_Code]],Territory_by_Code[],2)</f>
        <v>Idaho</v>
      </c>
      <c r="C591" t="s">
        <v>499</v>
      </c>
      <c r="D591">
        <v>19123</v>
      </c>
      <c r="E591">
        <v>563</v>
      </c>
    </row>
    <row r="592" spans="1:5" x14ac:dyDescent="0.25">
      <c r="A592" t="s">
        <v>484</v>
      </c>
      <c r="B592" t="str">
        <f>VLOOKUP(Counties_by_State_Code[[#This Row],[State_Code]],Territory_by_Code[],2)</f>
        <v>Idaho</v>
      </c>
      <c r="C592" t="s">
        <v>500</v>
      </c>
      <c r="D592">
        <v>15598</v>
      </c>
      <c r="E592">
        <v>731</v>
      </c>
    </row>
    <row r="593" spans="1:5" x14ac:dyDescent="0.25">
      <c r="A593" t="s">
        <v>484</v>
      </c>
      <c r="B593" t="str">
        <f>VLOOKUP(Counties_by_State_Code[[#This Row],[State_Code]],Territory_by_Code[],2)</f>
        <v>Idaho</v>
      </c>
      <c r="C593" t="s">
        <v>501</v>
      </c>
      <c r="D593">
        <v>16541</v>
      </c>
      <c r="E593">
        <v>8485</v>
      </c>
    </row>
    <row r="594" spans="1:5" x14ac:dyDescent="0.25">
      <c r="A594" t="s">
        <v>484</v>
      </c>
      <c r="B594" t="str">
        <f>VLOOKUP(Counties_by_State_Code[[#This Row],[State_Code]],Territory_by_Code[],2)</f>
        <v>Idaho</v>
      </c>
      <c r="C594" t="s">
        <v>37</v>
      </c>
      <c r="D594">
        <v>30891</v>
      </c>
      <c r="E594">
        <v>1095</v>
      </c>
    </row>
    <row r="595" spans="1:5" x14ac:dyDescent="0.25">
      <c r="A595" t="s">
        <v>484</v>
      </c>
      <c r="B595" t="str">
        <f>VLOOKUP(Counties_by_State_Code[[#This Row],[State_Code]],Territory_by_Code[],2)</f>
        <v>Idaho</v>
      </c>
      <c r="C595" t="s">
        <v>502</v>
      </c>
      <c r="D595">
        <v>24237</v>
      </c>
      <c r="E595">
        <v>600</v>
      </c>
    </row>
    <row r="596" spans="1:5" x14ac:dyDescent="0.25">
      <c r="A596" t="s">
        <v>484</v>
      </c>
      <c r="B596" t="str">
        <f>VLOOKUP(Counties_by_State_Code[[#This Row],[State_Code]],Territory_by_Code[],2)</f>
        <v>Idaho</v>
      </c>
      <c r="C596" t="s">
        <v>503</v>
      </c>
      <c r="D596">
        <v>171362</v>
      </c>
      <c r="E596">
        <v>1245</v>
      </c>
    </row>
    <row r="597" spans="1:5" x14ac:dyDescent="0.25">
      <c r="A597" t="s">
        <v>484</v>
      </c>
      <c r="B597" t="str">
        <f>VLOOKUP(Counties_by_State_Code[[#This Row],[State_Code]],Territory_by_Code[],2)</f>
        <v>Idaho</v>
      </c>
      <c r="C597" t="s">
        <v>504</v>
      </c>
      <c r="D597">
        <v>39517</v>
      </c>
      <c r="E597">
        <v>1077</v>
      </c>
    </row>
    <row r="598" spans="1:5" x14ac:dyDescent="0.25">
      <c r="A598" t="s">
        <v>484</v>
      </c>
      <c r="B598" t="str">
        <f>VLOOKUP(Counties_by_State_Code[[#This Row],[State_Code]],Territory_by_Code[],2)</f>
        <v>Idaho</v>
      </c>
      <c r="C598" t="s">
        <v>505</v>
      </c>
      <c r="D598">
        <v>7974</v>
      </c>
      <c r="E598">
        <v>4564</v>
      </c>
    </row>
    <row r="599" spans="1:5" x14ac:dyDescent="0.25">
      <c r="A599" t="s">
        <v>484</v>
      </c>
      <c r="B599" t="str">
        <f>VLOOKUP(Counties_by_State_Code[[#This Row],[State_Code]],Territory_by_Code[],2)</f>
        <v>Idaho</v>
      </c>
      <c r="C599" t="s">
        <v>506</v>
      </c>
      <c r="D599">
        <v>3533</v>
      </c>
      <c r="E599">
        <v>479</v>
      </c>
    </row>
    <row r="600" spans="1:5" x14ac:dyDescent="0.25">
      <c r="A600" t="s">
        <v>484</v>
      </c>
      <c r="B600" t="str">
        <f>VLOOKUP(Counties_by_State_Code[[#This Row],[State_Code]],Territory_by_Code[],2)</f>
        <v>Idaho</v>
      </c>
      <c r="C600" t="s">
        <v>151</v>
      </c>
      <c r="D600">
        <v>5127</v>
      </c>
      <c r="E600">
        <v>1206</v>
      </c>
    </row>
    <row r="601" spans="1:5" x14ac:dyDescent="0.25">
      <c r="A601" t="s">
        <v>484</v>
      </c>
      <c r="B601" t="str">
        <f>VLOOKUP(Counties_by_State_Code[[#This Row],[State_Code]],Territory_by_Code[],2)</f>
        <v>Idaho</v>
      </c>
      <c r="C601" t="s">
        <v>45</v>
      </c>
      <c r="D601">
        <v>52913</v>
      </c>
      <c r="E601">
        <v>472</v>
      </c>
    </row>
    <row r="602" spans="1:5" x14ac:dyDescent="0.25">
      <c r="A602" t="s">
        <v>484</v>
      </c>
      <c r="B602" t="str">
        <f>VLOOKUP(Counties_by_State_Code[[#This Row],[State_Code]],Territory_by_Code[],2)</f>
        <v>Idaho</v>
      </c>
      <c r="C602" t="s">
        <v>507</v>
      </c>
      <c r="D602">
        <v>21613</v>
      </c>
      <c r="E602">
        <v>760</v>
      </c>
    </row>
    <row r="603" spans="1:5" x14ac:dyDescent="0.25">
      <c r="A603" t="s">
        <v>484</v>
      </c>
      <c r="B603" t="str">
        <f>VLOOKUP(Counties_by_State_Code[[#This Row],[State_Code]],Territory_by_Code[],2)</f>
        <v>Idaho</v>
      </c>
      <c r="C603" t="s">
        <v>508</v>
      </c>
      <c r="D603">
        <v>42090</v>
      </c>
      <c r="E603">
        <v>849</v>
      </c>
    </row>
    <row r="604" spans="1:5" x14ac:dyDescent="0.25">
      <c r="A604" t="s">
        <v>484</v>
      </c>
      <c r="B604" t="str">
        <f>VLOOKUP(Counties_by_State_Code[[#This Row],[State_Code]],Territory_by_Code[],2)</f>
        <v>Idaho</v>
      </c>
      <c r="C604" t="s">
        <v>509</v>
      </c>
      <c r="D604">
        <v>4564</v>
      </c>
      <c r="E604">
        <v>1200</v>
      </c>
    </row>
    <row r="605" spans="1:5" x14ac:dyDescent="0.25">
      <c r="A605" t="s">
        <v>484</v>
      </c>
      <c r="B605" t="str">
        <f>VLOOKUP(Counties_by_State_Code[[#This Row],[State_Code]],Territory_by_Code[],2)</f>
        <v>Idaho</v>
      </c>
      <c r="C605" t="s">
        <v>510</v>
      </c>
      <c r="D605">
        <v>11913</v>
      </c>
      <c r="E605">
        <v>7678</v>
      </c>
    </row>
    <row r="606" spans="1:5" x14ac:dyDescent="0.25">
      <c r="A606" t="s">
        <v>484</v>
      </c>
      <c r="B606" t="str">
        <f>VLOOKUP(Counties_by_State_Code[[#This Row],[State_Code]],Territory_by_Code[],2)</f>
        <v>Idaho</v>
      </c>
      <c r="C606" t="s">
        <v>511</v>
      </c>
      <c r="D606">
        <v>25386</v>
      </c>
      <c r="E606">
        <v>408</v>
      </c>
    </row>
    <row r="607" spans="1:5" x14ac:dyDescent="0.25">
      <c r="A607" t="s">
        <v>484</v>
      </c>
      <c r="B607" t="str">
        <f>VLOOKUP(Counties_by_State_Code[[#This Row],[State_Code]],Territory_by_Code[],2)</f>
        <v>Idaho</v>
      </c>
      <c r="C607" t="s">
        <v>512</v>
      </c>
      <c r="D607">
        <v>7878</v>
      </c>
      <c r="E607">
        <v>1406</v>
      </c>
    </row>
    <row r="608" spans="1:5" x14ac:dyDescent="0.25">
      <c r="A608" t="s">
        <v>484</v>
      </c>
      <c r="B608" t="str">
        <f>VLOOKUP(Counties_by_State_Code[[#This Row],[State_Code]],Territory_by_Code[],2)</f>
        <v>Idaho</v>
      </c>
      <c r="C608" t="s">
        <v>513</v>
      </c>
      <c r="D608">
        <v>13169</v>
      </c>
      <c r="E608">
        <v>2634</v>
      </c>
    </row>
    <row r="609" spans="1:5" x14ac:dyDescent="0.25">
      <c r="A609" t="s">
        <v>484</v>
      </c>
      <c r="B609" t="str">
        <f>VLOOKUP(Counties_by_State_Code[[#This Row],[State_Code]],Territory_by_Code[],2)</f>
        <v>Idaho</v>
      </c>
      <c r="C609" t="s">
        <v>514</v>
      </c>
      <c r="D609">
        <v>11630</v>
      </c>
      <c r="E609">
        <v>450</v>
      </c>
    </row>
    <row r="610" spans="1:5" x14ac:dyDescent="0.25">
      <c r="A610" t="s">
        <v>484</v>
      </c>
      <c r="B610" t="str">
        <f>VLOOKUP(Counties_by_State_Code[[#This Row],[State_Code]],Territory_by_Code[],2)</f>
        <v>Idaho</v>
      </c>
      <c r="C610" t="s">
        <v>515</v>
      </c>
      <c r="D610">
        <v>90046</v>
      </c>
      <c r="E610">
        <v>1925</v>
      </c>
    </row>
    <row r="611" spans="1:5" x14ac:dyDescent="0.25">
      <c r="A611" t="s">
        <v>484</v>
      </c>
      <c r="B611" t="str">
        <f>VLOOKUP(Counties_by_State_Code[[#This Row],[State_Code]],Territory_by_Code[],2)</f>
        <v>Idaho</v>
      </c>
      <c r="C611" t="s">
        <v>516</v>
      </c>
      <c r="D611">
        <v>11746</v>
      </c>
      <c r="E611">
        <v>3733</v>
      </c>
    </row>
    <row r="612" spans="1:5" x14ac:dyDescent="0.25">
      <c r="A612" t="s">
        <v>484</v>
      </c>
      <c r="B612" t="str">
        <f>VLOOKUP(Counties_by_State_Code[[#This Row],[State_Code]],Territory_by_Code[],2)</f>
        <v>Idaho</v>
      </c>
      <c r="C612" t="s">
        <v>65</v>
      </c>
      <c r="D612">
        <v>10500</v>
      </c>
      <c r="E612">
        <v>1456</v>
      </c>
    </row>
    <row r="613" spans="1:5" x14ac:dyDescent="0.25">
      <c r="A613" t="s">
        <v>517</v>
      </c>
      <c r="B613" t="str">
        <f>VLOOKUP(Counties_by_State_Code[[#This Row],[State_Code]],Territory_by_Code[],2)</f>
        <v>Illinois</v>
      </c>
      <c r="C613" t="s">
        <v>236</v>
      </c>
      <c r="D613">
        <v>65737</v>
      </c>
      <c r="E613">
        <v>855</v>
      </c>
    </row>
    <row r="614" spans="1:5" x14ac:dyDescent="0.25">
      <c r="A614" t="s">
        <v>517</v>
      </c>
      <c r="B614" t="str">
        <f>VLOOKUP(Counties_by_State_Code[[#This Row],[State_Code]],Territory_by_Code[],2)</f>
        <v>Illinois</v>
      </c>
      <c r="C614" t="s">
        <v>518</v>
      </c>
      <c r="D614">
        <v>5240</v>
      </c>
      <c r="E614">
        <v>236</v>
      </c>
    </row>
    <row r="615" spans="1:5" x14ac:dyDescent="0.25">
      <c r="A615" t="s">
        <v>517</v>
      </c>
      <c r="B615" t="str">
        <f>VLOOKUP(Counties_by_State_Code[[#This Row],[State_Code]],Territory_by_Code[],2)</f>
        <v>Illinois</v>
      </c>
      <c r="C615" t="s">
        <v>519</v>
      </c>
      <c r="D615">
        <v>16725</v>
      </c>
      <c r="E615">
        <v>380</v>
      </c>
    </row>
    <row r="616" spans="1:5" x14ac:dyDescent="0.25">
      <c r="A616" t="s">
        <v>517</v>
      </c>
      <c r="B616" t="str">
        <f>VLOOKUP(Counties_by_State_Code[[#This Row],[State_Code]],Territory_by_Code[],2)</f>
        <v>Illinois</v>
      </c>
      <c r="C616" t="s">
        <v>126</v>
      </c>
      <c r="D616">
        <v>53448</v>
      </c>
      <c r="E616">
        <v>280</v>
      </c>
    </row>
    <row r="617" spans="1:5" x14ac:dyDescent="0.25">
      <c r="A617" t="s">
        <v>517</v>
      </c>
      <c r="B617" t="str">
        <f>VLOOKUP(Counties_by_State_Code[[#This Row],[State_Code]],Territory_by_Code[],2)</f>
        <v>Illinois</v>
      </c>
      <c r="C617" t="s">
        <v>520</v>
      </c>
      <c r="D617">
        <v>6244</v>
      </c>
      <c r="E617">
        <v>305</v>
      </c>
    </row>
    <row r="618" spans="1:5" x14ac:dyDescent="0.25">
      <c r="A618" t="s">
        <v>517</v>
      </c>
      <c r="B618" t="str">
        <f>VLOOKUP(Counties_by_State_Code[[#This Row],[State_Code]],Territory_by_Code[],2)</f>
        <v>Illinois</v>
      </c>
      <c r="C618" t="s">
        <v>521</v>
      </c>
      <c r="D618">
        <v>33244</v>
      </c>
      <c r="E618">
        <v>869</v>
      </c>
    </row>
    <row r="619" spans="1:5" x14ac:dyDescent="0.25">
      <c r="A619" t="s">
        <v>517</v>
      </c>
      <c r="B619" t="str">
        <f>VLOOKUP(Counties_by_State_Code[[#This Row],[State_Code]],Territory_by_Code[],2)</f>
        <v>Illinois</v>
      </c>
      <c r="C619" t="s">
        <v>8</v>
      </c>
      <c r="D619">
        <v>4437</v>
      </c>
      <c r="E619">
        <v>253</v>
      </c>
    </row>
    <row r="620" spans="1:5" x14ac:dyDescent="0.25">
      <c r="A620" t="s">
        <v>517</v>
      </c>
      <c r="B620" t="str">
        <f>VLOOKUP(Counties_by_State_Code[[#This Row],[State_Code]],Territory_by_Code[],2)</f>
        <v>Illinois</v>
      </c>
      <c r="C620" t="s">
        <v>128</v>
      </c>
      <c r="D620">
        <v>15702</v>
      </c>
      <c r="E620">
        <v>445</v>
      </c>
    </row>
    <row r="621" spans="1:5" x14ac:dyDescent="0.25">
      <c r="A621" t="s">
        <v>517</v>
      </c>
      <c r="B621" t="str">
        <f>VLOOKUP(Counties_by_State_Code[[#This Row],[State_Code]],Territory_by_Code[],2)</f>
        <v>Illinois</v>
      </c>
      <c r="C621" t="s">
        <v>522</v>
      </c>
      <c r="D621">
        <v>13042</v>
      </c>
      <c r="E621">
        <v>375</v>
      </c>
    </row>
    <row r="622" spans="1:5" x14ac:dyDescent="0.25">
      <c r="A622" t="s">
        <v>517</v>
      </c>
      <c r="B622" t="str">
        <f>VLOOKUP(Counties_by_State_Code[[#This Row],[State_Code]],Territory_by_Code[],2)</f>
        <v>Illinois</v>
      </c>
      <c r="C622" t="s">
        <v>523</v>
      </c>
      <c r="D622">
        <v>205865</v>
      </c>
      <c r="E622">
        <v>996</v>
      </c>
    </row>
    <row r="623" spans="1:5" x14ac:dyDescent="0.25">
      <c r="A623" t="s">
        <v>517</v>
      </c>
      <c r="B623" t="str">
        <f>VLOOKUP(Counties_by_State_Code[[#This Row],[State_Code]],Territory_by_Code[],2)</f>
        <v>Illinois</v>
      </c>
      <c r="C623" t="s">
        <v>524</v>
      </c>
      <c r="D623">
        <v>34032</v>
      </c>
      <c r="E623">
        <v>709</v>
      </c>
    </row>
    <row r="624" spans="1:5" x14ac:dyDescent="0.25">
      <c r="A624" t="s">
        <v>517</v>
      </c>
      <c r="B624" t="str">
        <f>VLOOKUP(Counties_by_State_Code[[#This Row],[State_Code]],Territory_by_Code[],2)</f>
        <v>Illinois</v>
      </c>
      <c r="C624" t="s">
        <v>130</v>
      </c>
      <c r="D624">
        <v>15455</v>
      </c>
      <c r="E624">
        <v>501</v>
      </c>
    </row>
    <row r="625" spans="1:5" x14ac:dyDescent="0.25">
      <c r="A625" t="s">
        <v>517</v>
      </c>
      <c r="B625" t="str">
        <f>VLOOKUP(Counties_by_State_Code[[#This Row],[State_Code]],Territory_by_Code[],2)</f>
        <v>Illinois</v>
      </c>
      <c r="C625" t="s">
        <v>14</v>
      </c>
      <c r="D625">
        <v>13288</v>
      </c>
      <c r="E625">
        <v>468</v>
      </c>
    </row>
    <row r="626" spans="1:5" x14ac:dyDescent="0.25">
      <c r="A626" t="s">
        <v>517</v>
      </c>
      <c r="B626" t="str">
        <f>VLOOKUP(Counties_by_State_Code[[#This Row],[State_Code]],Territory_by_Code[],2)</f>
        <v>Illinois</v>
      </c>
      <c r="C626" t="s">
        <v>525</v>
      </c>
      <c r="D626">
        <v>36899</v>
      </c>
      <c r="E626">
        <v>474</v>
      </c>
    </row>
    <row r="627" spans="1:5" x14ac:dyDescent="0.25">
      <c r="A627" t="s">
        <v>517</v>
      </c>
      <c r="B627" t="str">
        <f>VLOOKUP(Counties_by_State_Code[[#This Row],[State_Code]],Territory_by_Code[],2)</f>
        <v>Illinois</v>
      </c>
      <c r="C627" t="s">
        <v>526</v>
      </c>
      <c r="D627">
        <v>46863</v>
      </c>
      <c r="E627">
        <v>508</v>
      </c>
    </row>
    <row r="628" spans="1:5" x14ac:dyDescent="0.25">
      <c r="A628" t="s">
        <v>517</v>
      </c>
      <c r="B628" t="str">
        <f>VLOOKUP(Counties_by_State_Code[[#This Row],[State_Code]],Territory_by_Code[],2)</f>
        <v>Illinois</v>
      </c>
      <c r="C628" t="s">
        <v>393</v>
      </c>
      <c r="D628">
        <v>5275541</v>
      </c>
      <c r="E628">
        <v>944</v>
      </c>
    </row>
    <row r="629" spans="1:5" x14ac:dyDescent="0.25">
      <c r="A629" t="s">
        <v>517</v>
      </c>
      <c r="B629" t="str">
        <f>VLOOKUP(Counties_by_State_Code[[#This Row],[State_Code]],Territory_by_Code[],2)</f>
        <v>Illinois</v>
      </c>
      <c r="C629" t="s">
        <v>135</v>
      </c>
      <c r="D629">
        <v>18679</v>
      </c>
      <c r="E629">
        <v>443</v>
      </c>
    </row>
    <row r="630" spans="1:5" x14ac:dyDescent="0.25">
      <c r="A630" t="s">
        <v>517</v>
      </c>
      <c r="B630" t="str">
        <f>VLOOKUP(Counties_by_State_Code[[#This Row],[State_Code]],Territory_by_Code[],2)</f>
        <v>Illinois</v>
      </c>
      <c r="C630" t="s">
        <v>527</v>
      </c>
      <c r="D630">
        <v>10450</v>
      </c>
      <c r="E630">
        <v>345</v>
      </c>
    </row>
    <row r="631" spans="1:5" x14ac:dyDescent="0.25">
      <c r="A631" t="s">
        <v>517</v>
      </c>
      <c r="B631" t="str">
        <f>VLOOKUP(Counties_by_State_Code[[#This Row],[State_Code]],Territory_by_Code[],2)</f>
        <v>Illinois</v>
      </c>
      <c r="C631" t="s">
        <v>25</v>
      </c>
      <c r="D631">
        <v>100420</v>
      </c>
      <c r="E631">
        <v>631</v>
      </c>
    </row>
    <row r="632" spans="1:5" x14ac:dyDescent="0.25">
      <c r="A632" t="s">
        <v>517</v>
      </c>
      <c r="B632" t="str">
        <f>VLOOKUP(Counties_by_State_Code[[#This Row],[State_Code]],Territory_by_Code[],2)</f>
        <v>Illinois</v>
      </c>
      <c r="C632" t="s">
        <v>528</v>
      </c>
      <c r="D632">
        <v>15516</v>
      </c>
      <c r="E632">
        <v>397</v>
      </c>
    </row>
    <row r="633" spans="1:5" x14ac:dyDescent="0.25">
      <c r="A633" t="s">
        <v>517</v>
      </c>
      <c r="B633" t="str">
        <f>VLOOKUP(Counties_by_State_Code[[#This Row],[State_Code]],Territory_by_Code[],2)</f>
        <v>Illinois</v>
      </c>
      <c r="C633" t="s">
        <v>255</v>
      </c>
      <c r="D633">
        <v>19740</v>
      </c>
      <c r="E633">
        <v>416</v>
      </c>
    </row>
    <row r="634" spans="1:5" x14ac:dyDescent="0.25">
      <c r="A634" t="s">
        <v>517</v>
      </c>
      <c r="B634" t="str">
        <f>VLOOKUP(Counties_by_State_Code[[#This Row],[State_Code]],Territory_by_Code[],2)</f>
        <v>Illinois</v>
      </c>
      <c r="C634" t="s">
        <v>529</v>
      </c>
      <c r="D634">
        <v>932877</v>
      </c>
      <c r="E634">
        <v>327</v>
      </c>
    </row>
    <row r="635" spans="1:5" x14ac:dyDescent="0.25">
      <c r="A635" t="s">
        <v>517</v>
      </c>
      <c r="B635" t="str">
        <f>VLOOKUP(Counties_by_State_Code[[#This Row],[State_Code]],Territory_by_Code[],2)</f>
        <v>Illinois</v>
      </c>
      <c r="C635" t="s">
        <v>530</v>
      </c>
      <c r="D635">
        <v>16866</v>
      </c>
      <c r="E635">
        <v>623</v>
      </c>
    </row>
    <row r="636" spans="1:5" x14ac:dyDescent="0.25">
      <c r="A636" t="s">
        <v>517</v>
      </c>
      <c r="B636" t="str">
        <f>VLOOKUP(Counties_by_State_Code[[#This Row],[State_Code]],Territory_by_Code[],2)</f>
        <v>Illinois</v>
      </c>
      <c r="C636" t="s">
        <v>531</v>
      </c>
      <c r="D636">
        <v>6245</v>
      </c>
      <c r="E636">
        <v>222</v>
      </c>
    </row>
    <row r="637" spans="1:5" x14ac:dyDescent="0.25">
      <c r="A637" t="s">
        <v>517</v>
      </c>
      <c r="B637" t="str">
        <f>VLOOKUP(Counties_by_State_Code[[#This Row],[State_Code]],Territory_by_Code[],2)</f>
        <v>Illinois</v>
      </c>
      <c r="C637" t="s">
        <v>404</v>
      </c>
      <c r="D637">
        <v>34668</v>
      </c>
      <c r="E637">
        <v>478</v>
      </c>
    </row>
    <row r="638" spans="1:5" x14ac:dyDescent="0.25">
      <c r="A638" t="s">
        <v>517</v>
      </c>
      <c r="B638" t="str">
        <f>VLOOKUP(Counties_by_State_Code[[#This Row],[State_Code]],Territory_by_Code[],2)</f>
        <v>Illinois</v>
      </c>
      <c r="C638" t="s">
        <v>29</v>
      </c>
      <c r="D638">
        <v>21488</v>
      </c>
      <c r="E638">
        <v>716</v>
      </c>
    </row>
    <row r="639" spans="1:5" x14ac:dyDescent="0.25">
      <c r="A639" t="s">
        <v>517</v>
      </c>
      <c r="B639" t="str">
        <f>VLOOKUP(Counties_by_State_Code[[#This Row],[State_Code]],Territory_by_Code[],2)</f>
        <v>Illinois</v>
      </c>
      <c r="C639" t="s">
        <v>532</v>
      </c>
      <c r="D639">
        <v>13534</v>
      </c>
      <c r="E639">
        <v>485</v>
      </c>
    </row>
    <row r="640" spans="1:5" x14ac:dyDescent="0.25">
      <c r="A640" t="s">
        <v>517</v>
      </c>
      <c r="B640" t="str">
        <f>VLOOKUP(Counties_by_State_Code[[#This Row],[State_Code]],Territory_by_Code[],2)</f>
        <v>Illinois</v>
      </c>
      <c r="C640" t="s">
        <v>30</v>
      </c>
      <c r="D640">
        <v>37804</v>
      </c>
      <c r="E640">
        <v>408</v>
      </c>
    </row>
    <row r="641" spans="1:5" x14ac:dyDescent="0.25">
      <c r="A641" t="s">
        <v>517</v>
      </c>
      <c r="B641" t="str">
        <f>VLOOKUP(Counties_by_State_Code[[#This Row],[State_Code]],Territory_by_Code[],2)</f>
        <v>Illinois</v>
      </c>
      <c r="C641" t="s">
        <v>141</v>
      </c>
      <c r="D641">
        <v>33609</v>
      </c>
      <c r="E641">
        <v>865</v>
      </c>
    </row>
    <row r="642" spans="1:5" x14ac:dyDescent="0.25">
      <c r="A642" t="s">
        <v>517</v>
      </c>
      <c r="B642" t="str">
        <f>VLOOKUP(Counties_by_State_Code[[#This Row],[State_Code]],Territory_by_Code[],2)</f>
        <v>Illinois</v>
      </c>
      <c r="C642" t="s">
        <v>533</v>
      </c>
      <c r="D642">
        <v>4946</v>
      </c>
      <c r="E642">
        <v>322</v>
      </c>
    </row>
    <row r="643" spans="1:5" x14ac:dyDescent="0.25">
      <c r="A643" t="s">
        <v>517</v>
      </c>
      <c r="B643" t="str">
        <f>VLOOKUP(Counties_by_State_Code[[#This Row],[State_Code]],Territory_by_Code[],2)</f>
        <v>Illinois</v>
      </c>
      <c r="C643" t="s">
        <v>32</v>
      </c>
      <c r="D643">
        <v>11985</v>
      </c>
      <c r="E643">
        <v>543</v>
      </c>
    </row>
    <row r="644" spans="1:5" x14ac:dyDescent="0.25">
      <c r="A644" t="s">
        <v>517</v>
      </c>
      <c r="B644" t="str">
        <f>VLOOKUP(Counties_by_State_Code[[#This Row],[State_Code]],Territory_by_Code[],2)</f>
        <v>Illinois</v>
      </c>
      <c r="C644" t="s">
        <v>534</v>
      </c>
      <c r="D644">
        <v>52533</v>
      </c>
      <c r="E644">
        <v>418</v>
      </c>
    </row>
    <row r="645" spans="1:5" x14ac:dyDescent="0.25">
      <c r="A645" t="s">
        <v>517</v>
      </c>
      <c r="B645" t="str">
        <f>VLOOKUP(Counties_by_State_Code[[#This Row],[State_Code]],Territory_by_Code[],2)</f>
        <v>Illinois</v>
      </c>
      <c r="C645" t="s">
        <v>334</v>
      </c>
      <c r="D645">
        <v>7993</v>
      </c>
      <c r="E645">
        <v>434</v>
      </c>
    </row>
    <row r="646" spans="1:5" x14ac:dyDescent="0.25">
      <c r="A646" t="s">
        <v>517</v>
      </c>
      <c r="B646" t="str">
        <f>VLOOKUP(Counties_by_State_Code[[#This Row],[State_Code]],Territory_by_Code[],2)</f>
        <v>Illinois</v>
      </c>
      <c r="C646" t="s">
        <v>418</v>
      </c>
      <c r="D646">
        <v>17620</v>
      </c>
      <c r="E646">
        <v>793</v>
      </c>
    </row>
    <row r="647" spans="1:5" x14ac:dyDescent="0.25">
      <c r="A647" t="s">
        <v>517</v>
      </c>
      <c r="B647" t="str">
        <f>VLOOKUP(Counties_by_State_Code[[#This Row],[State_Code]],Territory_by_Code[],2)</f>
        <v>Illinois</v>
      </c>
      <c r="C647" t="s">
        <v>535</v>
      </c>
      <c r="D647">
        <v>3649</v>
      </c>
      <c r="E647">
        <v>177</v>
      </c>
    </row>
    <row r="648" spans="1:5" x14ac:dyDescent="0.25">
      <c r="A648" t="s">
        <v>517</v>
      </c>
      <c r="B648" t="str">
        <f>VLOOKUP(Counties_by_State_Code[[#This Row],[State_Code]],Territory_by_Code[],2)</f>
        <v>Illinois</v>
      </c>
      <c r="C648" t="s">
        <v>536</v>
      </c>
      <c r="D648">
        <v>6387</v>
      </c>
      <c r="E648">
        <v>378</v>
      </c>
    </row>
    <row r="649" spans="1:5" x14ac:dyDescent="0.25">
      <c r="A649" t="s">
        <v>517</v>
      </c>
      <c r="B649" t="str">
        <f>VLOOKUP(Counties_by_State_Code[[#This Row],[State_Code]],Territory_by_Code[],2)</f>
        <v>Illinois</v>
      </c>
      <c r="C649" t="s">
        <v>34</v>
      </c>
      <c r="D649">
        <v>49284</v>
      </c>
      <c r="E649">
        <v>822</v>
      </c>
    </row>
    <row r="650" spans="1:5" x14ac:dyDescent="0.25">
      <c r="A650" t="s">
        <v>517</v>
      </c>
      <c r="B650" t="str">
        <f>VLOOKUP(Counties_by_State_Code[[#This Row],[State_Code]],Territory_by_Code[],2)</f>
        <v>Illinois</v>
      </c>
      <c r="C650" t="s">
        <v>537</v>
      </c>
      <c r="D650">
        <v>27077</v>
      </c>
      <c r="E650">
        <v>1117</v>
      </c>
    </row>
    <row r="651" spans="1:5" x14ac:dyDescent="0.25">
      <c r="A651" t="s">
        <v>517</v>
      </c>
      <c r="B651" t="str">
        <f>VLOOKUP(Counties_by_State_Code[[#This Row],[State_Code]],Territory_by_Code[],2)</f>
        <v>Illinois</v>
      </c>
      <c r="C651" t="s">
        <v>36</v>
      </c>
      <c r="D651">
        <v>52974</v>
      </c>
      <c r="E651">
        <v>584</v>
      </c>
    </row>
    <row r="652" spans="1:5" x14ac:dyDescent="0.25">
      <c r="A652" t="s">
        <v>517</v>
      </c>
      <c r="B652" t="str">
        <f>VLOOKUP(Counties_by_State_Code[[#This Row],[State_Code]],Territory_by_Code[],2)</f>
        <v>Illinois</v>
      </c>
      <c r="C652" t="s">
        <v>424</v>
      </c>
      <c r="D652">
        <v>9287</v>
      </c>
      <c r="E652">
        <v>494</v>
      </c>
    </row>
    <row r="653" spans="1:5" x14ac:dyDescent="0.25">
      <c r="A653" t="s">
        <v>517</v>
      </c>
      <c r="B653" t="str">
        <f>VLOOKUP(Counties_by_State_Code[[#This Row],[State_Code]],Territory_by_Code[],2)</f>
        <v>Illinois</v>
      </c>
      <c r="C653" t="s">
        <v>37</v>
      </c>
      <c r="D653">
        <v>37113</v>
      </c>
      <c r="E653">
        <v>571</v>
      </c>
    </row>
    <row r="654" spans="1:5" x14ac:dyDescent="0.25">
      <c r="A654" t="s">
        <v>517</v>
      </c>
      <c r="B654" t="str">
        <f>VLOOKUP(Counties_by_State_Code[[#This Row],[State_Code]],Territory_by_Code[],2)</f>
        <v>Illinois</v>
      </c>
      <c r="C654" t="s">
        <v>538</v>
      </c>
      <c r="D654">
        <v>21512</v>
      </c>
      <c r="E654">
        <v>369</v>
      </c>
    </row>
    <row r="655" spans="1:5" x14ac:dyDescent="0.25">
      <c r="A655" t="s">
        <v>517</v>
      </c>
      <c r="B655" t="str">
        <f>VLOOKUP(Counties_by_State_Code[[#This Row],[State_Code]],Territory_by_Code[],2)</f>
        <v>Illinois</v>
      </c>
      <c r="C655" t="s">
        <v>539</v>
      </c>
      <c r="D655">
        <v>22035</v>
      </c>
      <c r="E655">
        <v>600</v>
      </c>
    </row>
    <row r="656" spans="1:5" x14ac:dyDescent="0.25">
      <c r="A656" t="s">
        <v>517</v>
      </c>
      <c r="B656" t="str">
        <f>VLOOKUP(Counties_by_State_Code[[#This Row],[State_Code]],Territory_by_Code[],2)</f>
        <v>Illinois</v>
      </c>
      <c r="C656" t="s">
        <v>149</v>
      </c>
      <c r="D656">
        <v>13308</v>
      </c>
      <c r="E656">
        <v>343</v>
      </c>
    </row>
    <row r="657" spans="1:5" x14ac:dyDescent="0.25">
      <c r="A657" t="s">
        <v>517</v>
      </c>
      <c r="B657" t="str">
        <f>VLOOKUP(Counties_by_State_Code[[#This Row],[State_Code]],Territory_by_Code[],2)</f>
        <v>Illinois</v>
      </c>
      <c r="C657" t="s">
        <v>540</v>
      </c>
      <c r="D657">
        <v>516522</v>
      </c>
      <c r="E657">
        <v>519</v>
      </c>
    </row>
    <row r="658" spans="1:5" x14ac:dyDescent="0.25">
      <c r="A658" t="s">
        <v>517</v>
      </c>
      <c r="B658" t="str">
        <f>VLOOKUP(Counties_by_State_Code[[#This Row],[State_Code]],Territory_by_Code[],2)</f>
        <v>Illinois</v>
      </c>
      <c r="C658" t="s">
        <v>541</v>
      </c>
      <c r="D658">
        <v>107502</v>
      </c>
      <c r="E658">
        <v>676</v>
      </c>
    </row>
    <row r="659" spans="1:5" x14ac:dyDescent="0.25">
      <c r="A659" t="s">
        <v>517</v>
      </c>
      <c r="B659" t="str">
        <f>VLOOKUP(Counties_by_State_Code[[#This Row],[State_Code]],Territory_by_Code[],2)</f>
        <v>Illinois</v>
      </c>
      <c r="C659" t="s">
        <v>542</v>
      </c>
      <c r="D659">
        <v>131869</v>
      </c>
      <c r="E659">
        <v>320</v>
      </c>
    </row>
    <row r="660" spans="1:5" x14ac:dyDescent="0.25">
      <c r="A660" t="s">
        <v>517</v>
      </c>
      <c r="B660" t="str">
        <f>VLOOKUP(Counties_by_State_Code[[#This Row],[State_Code]],Territory_by_Code[],2)</f>
        <v>Illinois</v>
      </c>
      <c r="C660" t="s">
        <v>543</v>
      </c>
      <c r="D660">
        <v>49967</v>
      </c>
      <c r="E660">
        <v>716</v>
      </c>
    </row>
    <row r="661" spans="1:5" x14ac:dyDescent="0.25">
      <c r="A661" t="s">
        <v>517</v>
      </c>
      <c r="B661" t="str">
        <f>VLOOKUP(Counties_by_State_Code[[#This Row],[State_Code]],Territory_by_Code[],2)</f>
        <v>Illinois</v>
      </c>
      <c r="C661" t="s">
        <v>196</v>
      </c>
      <c r="D661">
        <v>714342</v>
      </c>
      <c r="E661">
        <v>443</v>
      </c>
    </row>
    <row r="662" spans="1:5" x14ac:dyDescent="0.25">
      <c r="A662" t="s">
        <v>517</v>
      </c>
      <c r="B662" t="str">
        <f>VLOOKUP(Counties_by_State_Code[[#This Row],[State_Code]],Territory_by_Code[],2)</f>
        <v>Illinois</v>
      </c>
      <c r="C662" t="s">
        <v>544</v>
      </c>
      <c r="D662">
        <v>109658</v>
      </c>
      <c r="E662">
        <v>1135</v>
      </c>
    </row>
    <row r="663" spans="1:5" x14ac:dyDescent="0.25">
      <c r="A663" t="s">
        <v>517</v>
      </c>
      <c r="B663" t="str">
        <f>VLOOKUP(Counties_by_State_Code[[#This Row],[State_Code]],Territory_by_Code[],2)</f>
        <v>Illinois</v>
      </c>
      <c r="C663" t="s">
        <v>40</v>
      </c>
      <c r="D663">
        <v>15280</v>
      </c>
      <c r="E663">
        <v>372</v>
      </c>
    </row>
    <row r="664" spans="1:5" x14ac:dyDescent="0.25">
      <c r="A664" t="s">
        <v>517</v>
      </c>
      <c r="B664" t="str">
        <f>VLOOKUP(Counties_by_State_Code[[#This Row],[State_Code]],Territory_by_Code[],2)</f>
        <v>Illinois</v>
      </c>
      <c r="C664" t="s">
        <v>41</v>
      </c>
      <c r="D664">
        <v>34145</v>
      </c>
      <c r="E664">
        <v>724</v>
      </c>
    </row>
    <row r="665" spans="1:5" x14ac:dyDescent="0.25">
      <c r="A665" t="s">
        <v>517</v>
      </c>
      <c r="B665" t="str">
        <f>VLOOKUP(Counties_by_State_Code[[#This Row],[State_Code]],Territory_by_Code[],2)</f>
        <v>Illinois</v>
      </c>
      <c r="C665" t="s">
        <v>545</v>
      </c>
      <c r="D665">
        <v>35815</v>
      </c>
      <c r="E665">
        <v>1043</v>
      </c>
    </row>
    <row r="666" spans="1:5" x14ac:dyDescent="0.25">
      <c r="A666" t="s">
        <v>517</v>
      </c>
      <c r="B666" t="str">
        <f>VLOOKUP(Counties_by_State_Code[[#This Row],[State_Code]],Territory_by_Code[],2)</f>
        <v>Illinois</v>
      </c>
      <c r="C666" t="s">
        <v>153</v>
      </c>
      <c r="D666">
        <v>27987</v>
      </c>
      <c r="E666">
        <v>618</v>
      </c>
    </row>
    <row r="667" spans="1:5" x14ac:dyDescent="0.25">
      <c r="A667" t="s">
        <v>517</v>
      </c>
      <c r="B667" t="str">
        <f>VLOOKUP(Counties_by_State_Code[[#This Row],[State_Code]],Territory_by_Code[],2)</f>
        <v>Illinois</v>
      </c>
      <c r="C667" t="s">
        <v>44</v>
      </c>
      <c r="D667">
        <v>103998</v>
      </c>
      <c r="E667">
        <v>572</v>
      </c>
    </row>
    <row r="668" spans="1:5" x14ac:dyDescent="0.25">
      <c r="A668" t="s">
        <v>517</v>
      </c>
      <c r="B668" t="str">
        <f>VLOOKUP(Counties_by_State_Code[[#This Row],[State_Code]],Territory_by_Code[],2)</f>
        <v>Illinois</v>
      </c>
      <c r="C668" t="s">
        <v>546</v>
      </c>
      <c r="D668">
        <v>44967</v>
      </c>
      <c r="E668">
        <v>863</v>
      </c>
    </row>
    <row r="669" spans="1:5" x14ac:dyDescent="0.25">
      <c r="A669" t="s">
        <v>517</v>
      </c>
      <c r="B669" t="str">
        <f>VLOOKUP(Counties_by_State_Code[[#This Row],[State_Code]],Territory_by_Code[],2)</f>
        <v>Illinois</v>
      </c>
      <c r="C669" t="s">
        <v>45</v>
      </c>
      <c r="D669">
        <v>265859</v>
      </c>
      <c r="E669">
        <v>539</v>
      </c>
    </row>
    <row r="670" spans="1:5" x14ac:dyDescent="0.25">
      <c r="A670" t="s">
        <v>517</v>
      </c>
      <c r="B670" t="str">
        <f>VLOOKUP(Counties_by_State_Code[[#This Row],[State_Code]],Territory_by_Code[],2)</f>
        <v>Illinois</v>
      </c>
      <c r="C670" t="s">
        <v>47</v>
      </c>
      <c r="D670">
        <v>37729</v>
      </c>
      <c r="E670">
        <v>575</v>
      </c>
    </row>
    <row r="671" spans="1:5" x14ac:dyDescent="0.25">
      <c r="A671" t="s">
        <v>517</v>
      </c>
      <c r="B671" t="str">
        <f>VLOOKUP(Counties_by_State_Code[[#This Row],[State_Code]],Territory_by_Code[],2)</f>
        <v>Illinois</v>
      </c>
      <c r="C671" t="s">
        <v>48</v>
      </c>
      <c r="D671">
        <v>11742</v>
      </c>
      <c r="E671">
        <v>589</v>
      </c>
    </row>
    <row r="672" spans="1:5" x14ac:dyDescent="0.25">
      <c r="A672" t="s">
        <v>517</v>
      </c>
      <c r="B672" t="str">
        <f>VLOOKUP(Counties_by_State_Code[[#This Row],[State_Code]],Territory_by_Code[],2)</f>
        <v>Illinois</v>
      </c>
      <c r="C672" t="s">
        <v>547</v>
      </c>
      <c r="D672">
        <v>13086</v>
      </c>
      <c r="E672">
        <v>603</v>
      </c>
    </row>
    <row r="673" spans="1:5" x14ac:dyDescent="0.25">
      <c r="A673" t="s">
        <v>517</v>
      </c>
      <c r="B673" t="str">
        <f>VLOOKUP(Counties_by_State_Code[[#This Row],[State_Code]],Territory_by_Code[],2)</f>
        <v>Illinois</v>
      </c>
      <c r="C673" t="s">
        <v>548</v>
      </c>
      <c r="D673">
        <v>14169</v>
      </c>
      <c r="E673">
        <v>242</v>
      </c>
    </row>
    <row r="674" spans="1:5" x14ac:dyDescent="0.25">
      <c r="A674" t="s">
        <v>517</v>
      </c>
      <c r="B674" t="str">
        <f>VLOOKUP(Counties_by_State_Code[[#This Row],[State_Code]],Territory_by_Code[],2)</f>
        <v>Illinois</v>
      </c>
      <c r="C674" t="s">
        <v>549</v>
      </c>
      <c r="D674">
        <v>27238</v>
      </c>
      <c r="E674">
        <v>580</v>
      </c>
    </row>
    <row r="675" spans="1:5" x14ac:dyDescent="0.25">
      <c r="A675" t="s">
        <v>517</v>
      </c>
      <c r="B675" t="str">
        <f>VLOOKUP(Counties_by_State_Code[[#This Row],[State_Code]],Territory_by_Code[],2)</f>
        <v>Illinois</v>
      </c>
      <c r="C675" t="s">
        <v>550</v>
      </c>
      <c r="D675">
        <v>310229</v>
      </c>
      <c r="E675">
        <v>862</v>
      </c>
    </row>
    <row r="676" spans="1:5" x14ac:dyDescent="0.25">
      <c r="A676" t="s">
        <v>517</v>
      </c>
      <c r="B676" t="str">
        <f>VLOOKUP(Counties_by_State_Code[[#This Row],[State_Code]],Territory_by_Code[],2)</f>
        <v>Illinois</v>
      </c>
      <c r="C676" t="s">
        <v>551</v>
      </c>
      <c r="D676">
        <v>170954</v>
      </c>
      <c r="E676">
        <v>1186</v>
      </c>
    </row>
    <row r="677" spans="1:5" x14ac:dyDescent="0.25">
      <c r="A677" t="s">
        <v>517</v>
      </c>
      <c r="B677" t="str">
        <f>VLOOKUP(Counties_by_State_Code[[#This Row],[State_Code]],Territory_by_Code[],2)</f>
        <v>Illinois</v>
      </c>
      <c r="C677" t="s">
        <v>552</v>
      </c>
      <c r="D677">
        <v>12297</v>
      </c>
      <c r="E677">
        <v>314</v>
      </c>
    </row>
    <row r="678" spans="1:5" x14ac:dyDescent="0.25">
      <c r="A678" t="s">
        <v>517</v>
      </c>
      <c r="B678" t="str">
        <f>VLOOKUP(Counties_by_State_Code[[#This Row],[State_Code]],Territory_by_Code[],2)</f>
        <v>Illinois</v>
      </c>
      <c r="C678" t="s">
        <v>553</v>
      </c>
      <c r="D678">
        <v>15699</v>
      </c>
      <c r="E678">
        <v>561</v>
      </c>
    </row>
    <row r="679" spans="1:5" x14ac:dyDescent="0.25">
      <c r="A679" t="s">
        <v>517</v>
      </c>
      <c r="B679" t="str">
        <f>VLOOKUP(Counties_by_State_Code[[#This Row],[State_Code]],Territory_by_Code[],2)</f>
        <v>Illinois</v>
      </c>
      <c r="C679" t="s">
        <v>50</v>
      </c>
      <c r="D679">
        <v>34962</v>
      </c>
      <c r="E679">
        <v>385</v>
      </c>
    </row>
    <row r="680" spans="1:5" x14ac:dyDescent="0.25">
      <c r="A680" t="s">
        <v>517</v>
      </c>
      <c r="B680" t="str">
        <f>VLOOKUP(Counties_by_State_Code[[#This Row],[State_Code]],Territory_by_Code[],2)</f>
        <v>Illinois</v>
      </c>
      <c r="C680" t="s">
        <v>51</v>
      </c>
      <c r="D680">
        <v>28288</v>
      </c>
      <c r="E680">
        <v>703</v>
      </c>
    </row>
    <row r="681" spans="1:5" x14ac:dyDescent="0.25">
      <c r="A681" t="s">
        <v>517</v>
      </c>
      <c r="B681" t="str">
        <f>VLOOKUP(Counties_by_State_Code[[#This Row],[State_Code]],Territory_by_Code[],2)</f>
        <v>Illinois</v>
      </c>
      <c r="C681" t="s">
        <v>52</v>
      </c>
      <c r="D681">
        <v>32915</v>
      </c>
      <c r="E681">
        <v>568</v>
      </c>
    </row>
    <row r="682" spans="1:5" x14ac:dyDescent="0.25">
      <c r="A682" t="s">
        <v>517</v>
      </c>
      <c r="B682" t="str">
        <f>VLOOKUP(Counties_by_State_Code[[#This Row],[State_Code]],Territory_by_Code[],2)</f>
        <v>Illinois</v>
      </c>
      <c r="C682" t="s">
        <v>554</v>
      </c>
      <c r="D682">
        <v>14526</v>
      </c>
      <c r="E682">
        <v>335</v>
      </c>
    </row>
    <row r="683" spans="1:5" x14ac:dyDescent="0.25">
      <c r="A683" t="s">
        <v>517</v>
      </c>
      <c r="B683" t="str">
        <f>VLOOKUP(Counties_by_State_Code[[#This Row],[State_Code]],Territory_by_Code[],2)</f>
        <v>Illinois</v>
      </c>
      <c r="C683" t="s">
        <v>555</v>
      </c>
      <c r="D683">
        <v>51788</v>
      </c>
      <c r="E683">
        <v>758</v>
      </c>
    </row>
    <row r="684" spans="1:5" x14ac:dyDescent="0.25">
      <c r="A684" t="s">
        <v>517</v>
      </c>
      <c r="B684" t="str">
        <f>VLOOKUP(Counties_by_State_Code[[#This Row],[State_Code]],Territory_by_Code[],2)</f>
        <v>Illinois</v>
      </c>
      <c r="C684" t="s">
        <v>556</v>
      </c>
      <c r="D684">
        <v>181830</v>
      </c>
      <c r="E684">
        <v>618</v>
      </c>
    </row>
    <row r="685" spans="1:5" x14ac:dyDescent="0.25">
      <c r="A685" t="s">
        <v>517</v>
      </c>
      <c r="B685" t="str">
        <f>VLOOKUP(Counties_by_State_Code[[#This Row],[State_Code]],Territory_by_Code[],2)</f>
        <v>Illinois</v>
      </c>
      <c r="C685" t="s">
        <v>53</v>
      </c>
      <c r="D685">
        <v>20945</v>
      </c>
      <c r="E685">
        <v>441</v>
      </c>
    </row>
    <row r="686" spans="1:5" x14ac:dyDescent="0.25">
      <c r="A686" t="s">
        <v>517</v>
      </c>
      <c r="B686" t="str">
        <f>VLOOKUP(Counties_by_State_Code[[#This Row],[State_Code]],Territory_by_Code[],2)</f>
        <v>Illinois</v>
      </c>
      <c r="C686" t="s">
        <v>557</v>
      </c>
      <c r="D686">
        <v>16673</v>
      </c>
      <c r="E686">
        <v>439</v>
      </c>
    </row>
    <row r="687" spans="1:5" x14ac:dyDescent="0.25">
      <c r="A687" t="s">
        <v>517</v>
      </c>
      <c r="B687" t="str">
        <f>VLOOKUP(Counties_by_State_Code[[#This Row],[State_Code]],Territory_by_Code[],2)</f>
        <v>Illinois</v>
      </c>
      <c r="C687" t="s">
        <v>55</v>
      </c>
      <c r="D687">
        <v>14739</v>
      </c>
      <c r="E687">
        <v>831</v>
      </c>
    </row>
    <row r="688" spans="1:5" x14ac:dyDescent="0.25">
      <c r="A688" t="s">
        <v>517</v>
      </c>
      <c r="B688" t="str">
        <f>VLOOKUP(Counties_by_State_Code[[#This Row],[State_Code]],Territory_by_Code[],2)</f>
        <v>Illinois</v>
      </c>
      <c r="C688" t="s">
        <v>163</v>
      </c>
      <c r="D688">
        <v>3763</v>
      </c>
      <c r="E688">
        <v>368</v>
      </c>
    </row>
    <row r="689" spans="1:5" x14ac:dyDescent="0.25">
      <c r="A689" t="s">
        <v>517</v>
      </c>
      <c r="B689" t="str">
        <f>VLOOKUP(Counties_by_State_Code[[#This Row],[State_Code]],Territory_by_Code[],2)</f>
        <v>Illinois</v>
      </c>
      <c r="C689" t="s">
        <v>165</v>
      </c>
      <c r="D689">
        <v>5193</v>
      </c>
      <c r="E689">
        <v>199</v>
      </c>
    </row>
    <row r="690" spans="1:5" x14ac:dyDescent="0.25">
      <c r="A690" t="s">
        <v>517</v>
      </c>
      <c r="B690" t="str">
        <f>VLOOKUP(Counties_by_State_Code[[#This Row],[State_Code]],Territory_by_Code[],2)</f>
        <v>Illinois</v>
      </c>
      <c r="C690" t="s">
        <v>355</v>
      </c>
      <c r="D690">
        <v>5637</v>
      </c>
      <c r="E690">
        <v>160</v>
      </c>
    </row>
    <row r="691" spans="1:5" x14ac:dyDescent="0.25">
      <c r="A691" t="s">
        <v>517</v>
      </c>
      <c r="B691" t="str">
        <f>VLOOKUP(Counties_by_State_Code[[#This Row],[State_Code]],Territory_by_Code[],2)</f>
        <v>Illinois</v>
      </c>
      <c r="C691" t="s">
        <v>56</v>
      </c>
      <c r="D691">
        <v>30163</v>
      </c>
      <c r="E691">
        <v>575</v>
      </c>
    </row>
    <row r="692" spans="1:5" x14ac:dyDescent="0.25">
      <c r="A692" t="s">
        <v>517</v>
      </c>
      <c r="B692" t="str">
        <f>VLOOKUP(Counties_by_State_Code[[#This Row],[State_Code]],Territory_by_Code[],2)</f>
        <v>Illinois</v>
      </c>
      <c r="C692" t="s">
        <v>558</v>
      </c>
      <c r="D692">
        <v>15813</v>
      </c>
      <c r="E692">
        <v>360</v>
      </c>
    </row>
    <row r="693" spans="1:5" x14ac:dyDescent="0.25">
      <c r="A693" t="s">
        <v>517</v>
      </c>
      <c r="B693" t="str">
        <f>VLOOKUP(Counties_by_State_Code[[#This Row],[State_Code]],Territory_by_Code[],2)</f>
        <v>Illinois</v>
      </c>
      <c r="C693" t="s">
        <v>559</v>
      </c>
      <c r="D693">
        <v>144672</v>
      </c>
      <c r="E693">
        <v>427</v>
      </c>
    </row>
    <row r="694" spans="1:5" x14ac:dyDescent="0.25">
      <c r="A694" t="s">
        <v>517</v>
      </c>
      <c r="B694" t="str">
        <f>VLOOKUP(Counties_by_State_Code[[#This Row],[State_Code]],Territory_by_Code[],2)</f>
        <v>Illinois</v>
      </c>
      <c r="C694" t="s">
        <v>59</v>
      </c>
      <c r="D694">
        <v>257400</v>
      </c>
      <c r="E694">
        <v>674</v>
      </c>
    </row>
    <row r="695" spans="1:5" x14ac:dyDescent="0.25">
      <c r="A695" t="s">
        <v>517</v>
      </c>
      <c r="B695" t="str">
        <f>VLOOKUP(Counties_by_State_Code[[#This Row],[State_Code]],Territory_by_Code[],2)</f>
        <v>Illinois</v>
      </c>
      <c r="C695" t="s">
        <v>167</v>
      </c>
      <c r="D695">
        <v>23768</v>
      </c>
      <c r="E695">
        <v>868</v>
      </c>
    </row>
    <row r="696" spans="1:5" x14ac:dyDescent="0.25">
      <c r="A696" t="s">
        <v>517</v>
      </c>
      <c r="B696" t="str">
        <f>VLOOKUP(Counties_by_State_Code[[#This Row],[State_Code]],Territory_by_Code[],2)</f>
        <v>Illinois</v>
      </c>
      <c r="C696" t="s">
        <v>560</v>
      </c>
      <c r="D696">
        <v>196343</v>
      </c>
      <c r="E696">
        <v>437</v>
      </c>
    </row>
    <row r="697" spans="1:5" x14ac:dyDescent="0.25">
      <c r="A697" t="s">
        <v>517</v>
      </c>
      <c r="B697" t="str">
        <f>VLOOKUP(Counties_by_State_Code[[#This Row],[State_Code]],Territory_by_Code[],2)</f>
        <v>Illinois</v>
      </c>
      <c r="C697" t="s">
        <v>561</v>
      </c>
      <c r="D697">
        <v>6902</v>
      </c>
      <c r="E697">
        <v>438</v>
      </c>
    </row>
    <row r="698" spans="1:5" x14ac:dyDescent="0.25">
      <c r="A698" t="s">
        <v>517</v>
      </c>
      <c r="B698" t="str">
        <f>VLOOKUP(Counties_by_State_Code[[#This Row],[State_Code]],Territory_by_Code[],2)</f>
        <v>Illinois</v>
      </c>
      <c r="C698" t="s">
        <v>168</v>
      </c>
      <c r="D698">
        <v>4949</v>
      </c>
      <c r="E698">
        <v>758</v>
      </c>
    </row>
    <row r="699" spans="1:5" x14ac:dyDescent="0.25">
      <c r="A699" t="s">
        <v>517</v>
      </c>
      <c r="B699" t="str">
        <f>VLOOKUP(Counties_by_State_Code[[#This Row],[State_Code]],Territory_by_Code[],2)</f>
        <v>Illinois</v>
      </c>
      <c r="C699" t="s">
        <v>58</v>
      </c>
      <c r="D699">
        <v>20990</v>
      </c>
      <c r="E699">
        <v>657</v>
      </c>
    </row>
    <row r="700" spans="1:5" x14ac:dyDescent="0.25">
      <c r="A700" t="s">
        <v>517</v>
      </c>
      <c r="B700" t="str">
        <f>VLOOKUP(Counties_by_State_Code[[#This Row],[State_Code]],Territory_by_Code[],2)</f>
        <v>Illinois</v>
      </c>
      <c r="C700" t="s">
        <v>562</v>
      </c>
      <c r="D700">
        <v>5400</v>
      </c>
      <c r="E700">
        <v>288</v>
      </c>
    </row>
    <row r="701" spans="1:5" x14ac:dyDescent="0.25">
      <c r="A701" t="s">
        <v>517</v>
      </c>
      <c r="B701" t="str">
        <f>VLOOKUP(Counties_by_State_Code[[#This Row],[State_Code]],Territory_by_Code[],2)</f>
        <v>Illinois</v>
      </c>
      <c r="C701" t="s">
        <v>563</v>
      </c>
      <c r="D701">
        <v>44630</v>
      </c>
      <c r="E701">
        <v>564</v>
      </c>
    </row>
    <row r="702" spans="1:5" x14ac:dyDescent="0.25">
      <c r="A702" t="s">
        <v>517</v>
      </c>
      <c r="B702" t="str">
        <f>VLOOKUP(Counties_by_State_Code[[#This Row],[State_Code]],Territory_by_Code[],2)</f>
        <v>Illinois</v>
      </c>
      <c r="C702" t="s">
        <v>564</v>
      </c>
      <c r="D702">
        <v>131343</v>
      </c>
      <c r="E702">
        <v>646</v>
      </c>
    </row>
    <row r="703" spans="1:5" x14ac:dyDescent="0.25">
      <c r="A703" t="s">
        <v>517</v>
      </c>
      <c r="B703" t="str">
        <f>VLOOKUP(Counties_by_State_Code[[#This Row],[State_Code]],Territory_by_Code[],2)</f>
        <v>Illinois</v>
      </c>
      <c r="C703" t="s">
        <v>174</v>
      </c>
      <c r="D703">
        <v>17244</v>
      </c>
      <c r="E703">
        <v>413</v>
      </c>
    </row>
    <row r="704" spans="1:5" x14ac:dyDescent="0.25">
      <c r="A704" t="s">
        <v>517</v>
      </c>
      <c r="B704" t="str">
        <f>VLOOKUP(Counties_by_State_Code[[#This Row],[State_Code]],Territory_by_Code[],2)</f>
        <v>Illinois</v>
      </c>
      <c r="C704" t="s">
        <v>565</v>
      </c>
      <c r="D704">
        <v>74188</v>
      </c>
      <c r="E704">
        <v>898</v>
      </c>
    </row>
    <row r="705" spans="1:5" x14ac:dyDescent="0.25">
      <c r="A705" t="s">
        <v>517</v>
      </c>
      <c r="B705" t="str">
        <f>VLOOKUP(Counties_by_State_Code[[#This Row],[State_Code]],Territory_by_Code[],2)</f>
        <v>Illinois</v>
      </c>
      <c r="C705" t="s">
        <v>566</v>
      </c>
      <c r="D705">
        <v>11361</v>
      </c>
      <c r="E705">
        <v>223</v>
      </c>
    </row>
    <row r="706" spans="1:5" x14ac:dyDescent="0.25">
      <c r="A706" t="s">
        <v>517</v>
      </c>
      <c r="B706" t="str">
        <f>VLOOKUP(Counties_by_State_Code[[#This Row],[State_Code]],Territory_by_Code[],2)</f>
        <v>Illinois</v>
      </c>
      <c r="C706" t="s">
        <v>467</v>
      </c>
      <c r="D706">
        <v>16835</v>
      </c>
      <c r="E706">
        <v>542</v>
      </c>
    </row>
    <row r="707" spans="1:5" x14ac:dyDescent="0.25">
      <c r="A707" t="s">
        <v>517</v>
      </c>
      <c r="B707" t="str">
        <f>VLOOKUP(Counties_by_State_Code[[#This Row],[State_Code]],Territory_by_Code[],2)</f>
        <v>Illinois</v>
      </c>
      <c r="C707" t="s">
        <v>65</v>
      </c>
      <c r="D707">
        <v>13761</v>
      </c>
      <c r="E707">
        <v>562</v>
      </c>
    </row>
    <row r="708" spans="1:5" x14ac:dyDescent="0.25">
      <c r="A708" t="s">
        <v>517</v>
      </c>
      <c r="B708" t="str">
        <f>VLOOKUP(Counties_by_State_Code[[#This Row],[State_Code]],Territory_by_Code[],2)</f>
        <v>Illinois</v>
      </c>
      <c r="C708" t="s">
        <v>468</v>
      </c>
      <c r="D708">
        <v>16179</v>
      </c>
      <c r="E708">
        <v>713</v>
      </c>
    </row>
    <row r="709" spans="1:5" x14ac:dyDescent="0.25">
      <c r="A709" t="s">
        <v>517</v>
      </c>
      <c r="B709" t="str">
        <f>VLOOKUP(Counties_by_State_Code[[#This Row],[State_Code]],Territory_by_Code[],2)</f>
        <v>Illinois</v>
      </c>
      <c r="C709" t="s">
        <v>176</v>
      </c>
      <c r="D709">
        <v>13877</v>
      </c>
      <c r="E709">
        <v>494</v>
      </c>
    </row>
    <row r="710" spans="1:5" x14ac:dyDescent="0.25">
      <c r="A710" t="s">
        <v>517</v>
      </c>
      <c r="B710" t="str">
        <f>VLOOKUP(Counties_by_State_Code[[#This Row],[State_Code]],Territory_by_Code[],2)</f>
        <v>Illinois</v>
      </c>
      <c r="C710" t="s">
        <v>567</v>
      </c>
      <c r="D710">
        <v>55691</v>
      </c>
      <c r="E710">
        <v>684</v>
      </c>
    </row>
    <row r="711" spans="1:5" x14ac:dyDescent="0.25">
      <c r="A711" t="s">
        <v>517</v>
      </c>
      <c r="B711" t="str">
        <f>VLOOKUP(Counties_by_State_Code[[#This Row],[State_Code]],Territory_by_Code[],2)</f>
        <v>Illinois</v>
      </c>
      <c r="C711" t="s">
        <v>568</v>
      </c>
      <c r="D711">
        <v>696355</v>
      </c>
      <c r="E711">
        <v>835</v>
      </c>
    </row>
    <row r="712" spans="1:5" x14ac:dyDescent="0.25">
      <c r="A712" t="s">
        <v>517</v>
      </c>
      <c r="B712" t="str">
        <f>VLOOKUP(Counties_by_State_Code[[#This Row],[State_Code]],Territory_by_Code[],2)</f>
        <v>Illinois</v>
      </c>
      <c r="C712" t="s">
        <v>569</v>
      </c>
      <c r="D712">
        <v>67153</v>
      </c>
      <c r="E712">
        <v>420</v>
      </c>
    </row>
    <row r="713" spans="1:5" x14ac:dyDescent="0.25">
      <c r="A713" t="s">
        <v>517</v>
      </c>
      <c r="B713" t="str">
        <f>VLOOKUP(Counties_by_State_Code[[#This Row],[State_Code]],Territory_by_Code[],2)</f>
        <v>Illinois</v>
      </c>
      <c r="C713" t="s">
        <v>570</v>
      </c>
      <c r="D713">
        <v>285350</v>
      </c>
      <c r="E713">
        <v>513</v>
      </c>
    </row>
    <row r="714" spans="1:5" x14ac:dyDescent="0.25">
      <c r="A714" t="s">
        <v>517</v>
      </c>
      <c r="B714" t="str">
        <f>VLOOKUP(Counties_by_State_Code[[#This Row],[State_Code]],Territory_by_Code[],2)</f>
        <v>Illinois</v>
      </c>
      <c r="C714" t="s">
        <v>571</v>
      </c>
      <c r="D714">
        <v>38467</v>
      </c>
      <c r="E714">
        <v>527</v>
      </c>
    </row>
    <row r="715" spans="1:5" x14ac:dyDescent="0.25">
      <c r="A715" t="s">
        <v>572</v>
      </c>
      <c r="B715" t="str">
        <f>VLOOKUP(Counties_by_State_Code[[#This Row],[State_Code]],Territory_by_Code[],2)</f>
        <v>Indiana</v>
      </c>
      <c r="C715" t="s">
        <v>236</v>
      </c>
      <c r="D715">
        <v>35809</v>
      </c>
      <c r="E715">
        <v>339</v>
      </c>
    </row>
    <row r="716" spans="1:5" x14ac:dyDescent="0.25">
      <c r="A716" t="s">
        <v>572</v>
      </c>
      <c r="B716" t="str">
        <f>VLOOKUP(Counties_by_State_Code[[#This Row],[State_Code]],Territory_by_Code[],2)</f>
        <v>Indiana</v>
      </c>
      <c r="C716" t="s">
        <v>573</v>
      </c>
      <c r="D716">
        <v>385410</v>
      </c>
      <c r="E716">
        <v>657</v>
      </c>
    </row>
    <row r="717" spans="1:5" x14ac:dyDescent="0.25">
      <c r="A717" t="s">
        <v>572</v>
      </c>
      <c r="B717" t="str">
        <f>VLOOKUP(Counties_by_State_Code[[#This Row],[State_Code]],Territory_by_Code[],2)</f>
        <v>Indiana</v>
      </c>
      <c r="C717" t="s">
        <v>574</v>
      </c>
      <c r="D717">
        <v>82208</v>
      </c>
      <c r="E717">
        <v>407</v>
      </c>
    </row>
    <row r="718" spans="1:5" x14ac:dyDescent="0.25">
      <c r="A718" t="s">
        <v>572</v>
      </c>
      <c r="B718" t="str">
        <f>VLOOKUP(Counties_by_State_Code[[#This Row],[State_Code]],Territory_by_Code[],2)</f>
        <v>Indiana</v>
      </c>
      <c r="C718" t="s">
        <v>125</v>
      </c>
      <c r="D718">
        <v>8719</v>
      </c>
      <c r="E718">
        <v>406</v>
      </c>
    </row>
    <row r="719" spans="1:5" x14ac:dyDescent="0.25">
      <c r="A719" t="s">
        <v>572</v>
      </c>
      <c r="B719" t="str">
        <f>VLOOKUP(Counties_by_State_Code[[#This Row],[State_Code]],Territory_by_Code[],2)</f>
        <v>Indiana</v>
      </c>
      <c r="C719" t="s">
        <v>575</v>
      </c>
      <c r="D719">
        <v>12112</v>
      </c>
      <c r="E719">
        <v>165</v>
      </c>
    </row>
    <row r="720" spans="1:5" x14ac:dyDescent="0.25">
      <c r="A720" t="s">
        <v>572</v>
      </c>
      <c r="B720" t="str">
        <f>VLOOKUP(Counties_by_State_Code[[#This Row],[State_Code]],Territory_by_Code[],2)</f>
        <v>Indiana</v>
      </c>
      <c r="C720" t="s">
        <v>126</v>
      </c>
      <c r="D720">
        <v>70812</v>
      </c>
      <c r="E720">
        <v>423</v>
      </c>
    </row>
    <row r="721" spans="1:5" x14ac:dyDescent="0.25">
      <c r="A721" t="s">
        <v>572</v>
      </c>
      <c r="B721" t="str">
        <f>VLOOKUP(Counties_by_State_Code[[#This Row],[State_Code]],Territory_by_Code[],2)</f>
        <v>Indiana</v>
      </c>
      <c r="C721" t="s">
        <v>520</v>
      </c>
      <c r="D721">
        <v>15475</v>
      </c>
      <c r="E721">
        <v>312</v>
      </c>
    </row>
    <row r="722" spans="1:5" x14ac:dyDescent="0.25">
      <c r="A722" t="s">
        <v>572</v>
      </c>
      <c r="B722" t="str">
        <f>VLOOKUP(Counties_by_State_Code[[#This Row],[State_Code]],Territory_by_Code[],2)</f>
        <v>Indiana</v>
      </c>
      <c r="C722" t="s">
        <v>128</v>
      </c>
      <c r="D722">
        <v>20306</v>
      </c>
      <c r="E722">
        <v>372</v>
      </c>
    </row>
    <row r="723" spans="1:5" x14ac:dyDescent="0.25">
      <c r="A723" t="s">
        <v>572</v>
      </c>
      <c r="B723" t="str">
        <f>VLOOKUP(Counties_by_State_Code[[#This Row],[State_Code]],Territory_by_Code[],2)</f>
        <v>Indiana</v>
      </c>
      <c r="C723" t="s">
        <v>522</v>
      </c>
      <c r="D723">
        <v>37870</v>
      </c>
      <c r="E723">
        <v>412</v>
      </c>
    </row>
    <row r="724" spans="1:5" x14ac:dyDescent="0.25">
      <c r="A724" t="s">
        <v>572</v>
      </c>
      <c r="B724" t="str">
        <f>VLOOKUP(Counties_by_State_Code[[#This Row],[State_Code]],Territory_by_Code[],2)</f>
        <v>Indiana</v>
      </c>
      <c r="C724" t="s">
        <v>130</v>
      </c>
      <c r="D724">
        <v>121093</v>
      </c>
      <c r="E724">
        <v>373</v>
      </c>
    </row>
    <row r="725" spans="1:5" x14ac:dyDescent="0.25">
      <c r="A725" t="s">
        <v>572</v>
      </c>
      <c r="B725" t="str">
        <f>VLOOKUP(Counties_by_State_Code[[#This Row],[State_Code]],Territory_by_Code[],2)</f>
        <v>Indiana</v>
      </c>
      <c r="C725" t="s">
        <v>14</v>
      </c>
      <c r="D725">
        <v>26466</v>
      </c>
      <c r="E725">
        <v>358</v>
      </c>
    </row>
    <row r="726" spans="1:5" x14ac:dyDescent="0.25">
      <c r="A726" t="s">
        <v>572</v>
      </c>
      <c r="B726" t="str">
        <f>VLOOKUP(Counties_by_State_Code[[#This Row],[State_Code]],Territory_by_Code[],2)</f>
        <v>Indiana</v>
      </c>
      <c r="C726" t="s">
        <v>525</v>
      </c>
      <c r="D726">
        <v>33190</v>
      </c>
      <c r="E726">
        <v>405</v>
      </c>
    </row>
    <row r="727" spans="1:5" x14ac:dyDescent="0.25">
      <c r="A727" t="s">
        <v>572</v>
      </c>
      <c r="B727" t="str">
        <f>VLOOKUP(Counties_by_State_Code[[#This Row],[State_Code]],Territory_by_Code[],2)</f>
        <v>Indiana</v>
      </c>
      <c r="C727" t="s">
        <v>135</v>
      </c>
      <c r="D727">
        <v>10526</v>
      </c>
      <c r="E727">
        <v>306</v>
      </c>
    </row>
    <row r="728" spans="1:5" x14ac:dyDescent="0.25">
      <c r="A728" t="s">
        <v>572</v>
      </c>
      <c r="B728" t="str">
        <f>VLOOKUP(Counties_by_State_Code[[#This Row],[State_Code]],Territory_by_Code[],2)</f>
        <v>Indiana</v>
      </c>
      <c r="C728" t="s">
        <v>576</v>
      </c>
      <c r="D728">
        <v>33381</v>
      </c>
      <c r="E728">
        <v>429</v>
      </c>
    </row>
    <row r="729" spans="1:5" x14ac:dyDescent="0.25">
      <c r="A729" t="s">
        <v>572</v>
      </c>
      <c r="B729" t="str">
        <f>VLOOKUP(Counties_by_State_Code[[#This Row],[State_Code]],Territory_by_Code[],2)</f>
        <v>Indiana</v>
      </c>
      <c r="C729" t="s">
        <v>577</v>
      </c>
      <c r="D729">
        <v>50679</v>
      </c>
      <c r="E729">
        <v>305</v>
      </c>
    </row>
    <row r="730" spans="1:5" x14ac:dyDescent="0.25">
      <c r="A730" t="s">
        <v>572</v>
      </c>
      <c r="B730" t="str">
        <f>VLOOKUP(Counties_by_State_Code[[#This Row],[State_Code]],Territory_by_Code[],2)</f>
        <v>Indiana</v>
      </c>
      <c r="C730" t="s">
        <v>398</v>
      </c>
      <c r="D730">
        <v>26472</v>
      </c>
      <c r="E730">
        <v>373</v>
      </c>
    </row>
    <row r="731" spans="1:5" x14ac:dyDescent="0.25">
      <c r="A731" t="s">
        <v>572</v>
      </c>
      <c r="B731" t="str">
        <f>VLOOKUP(Counties_by_State_Code[[#This Row],[State_Code]],Territory_by_Code[],2)</f>
        <v>Indiana</v>
      </c>
      <c r="C731" t="s">
        <v>25</v>
      </c>
      <c r="D731">
        <v>43265</v>
      </c>
      <c r="E731">
        <v>363</v>
      </c>
    </row>
    <row r="732" spans="1:5" x14ac:dyDescent="0.25">
      <c r="A732" t="s">
        <v>572</v>
      </c>
      <c r="B732" t="str">
        <f>VLOOKUP(Counties_by_State_Code[[#This Row],[State_Code]],Territory_by_Code[],2)</f>
        <v>Indiana</v>
      </c>
      <c r="C732" t="s">
        <v>578</v>
      </c>
      <c r="D732">
        <v>111903</v>
      </c>
      <c r="E732">
        <v>392</v>
      </c>
    </row>
    <row r="733" spans="1:5" x14ac:dyDescent="0.25">
      <c r="A733" t="s">
        <v>572</v>
      </c>
      <c r="B733" t="str">
        <f>VLOOKUP(Counties_by_State_Code[[#This Row],[State_Code]],Territory_by_Code[],2)</f>
        <v>Indiana</v>
      </c>
      <c r="C733" t="s">
        <v>579</v>
      </c>
      <c r="D733">
        <v>43637</v>
      </c>
      <c r="E733">
        <v>427</v>
      </c>
    </row>
    <row r="734" spans="1:5" x14ac:dyDescent="0.25">
      <c r="A734" t="s">
        <v>572</v>
      </c>
      <c r="B734" t="str">
        <f>VLOOKUP(Counties_by_State_Code[[#This Row],[State_Code]],Territory_by_Code[],2)</f>
        <v>Indiana</v>
      </c>
      <c r="C734" t="s">
        <v>580</v>
      </c>
      <c r="D734">
        <v>207047</v>
      </c>
      <c r="E734">
        <v>463</v>
      </c>
    </row>
    <row r="735" spans="1:5" x14ac:dyDescent="0.25">
      <c r="A735" t="s">
        <v>572</v>
      </c>
      <c r="B735" t="str">
        <f>VLOOKUP(Counties_by_State_Code[[#This Row],[State_Code]],Territory_by_Code[],2)</f>
        <v>Indiana</v>
      </c>
      <c r="C735" t="s">
        <v>29</v>
      </c>
      <c r="D735">
        <v>23398</v>
      </c>
      <c r="E735">
        <v>215</v>
      </c>
    </row>
    <row r="736" spans="1:5" x14ac:dyDescent="0.25">
      <c r="A736" t="s">
        <v>572</v>
      </c>
      <c r="B736" t="str">
        <f>VLOOKUP(Counties_by_State_Code[[#This Row],[State_Code]],Territory_by_Code[],2)</f>
        <v>Indiana</v>
      </c>
      <c r="C736" t="s">
        <v>408</v>
      </c>
      <c r="D736">
        <v>80484</v>
      </c>
      <c r="E736">
        <v>148</v>
      </c>
    </row>
    <row r="737" spans="1:5" x14ac:dyDescent="0.25">
      <c r="A737" t="s">
        <v>572</v>
      </c>
      <c r="B737" t="str">
        <f>VLOOKUP(Counties_by_State_Code[[#This Row],[State_Code]],Territory_by_Code[],2)</f>
        <v>Indiana</v>
      </c>
      <c r="C737" t="s">
        <v>581</v>
      </c>
      <c r="D737">
        <v>16479</v>
      </c>
      <c r="E737">
        <v>396</v>
      </c>
    </row>
    <row r="738" spans="1:5" x14ac:dyDescent="0.25">
      <c r="A738" t="s">
        <v>572</v>
      </c>
      <c r="B738" t="str">
        <f>VLOOKUP(Counties_by_State_Code[[#This Row],[State_Code]],Territory_by_Code[],2)</f>
        <v>Indiana</v>
      </c>
      <c r="C738" t="s">
        <v>30</v>
      </c>
      <c r="D738">
        <v>22785</v>
      </c>
      <c r="E738">
        <v>384</v>
      </c>
    </row>
    <row r="739" spans="1:5" x14ac:dyDescent="0.25">
      <c r="A739" t="s">
        <v>572</v>
      </c>
      <c r="B739" t="str">
        <f>VLOOKUP(Counties_by_State_Code[[#This Row],[State_Code]],Territory_by_Code[],2)</f>
        <v>Indiana</v>
      </c>
      <c r="C739" t="s">
        <v>141</v>
      </c>
      <c r="D739">
        <v>20480</v>
      </c>
      <c r="E739">
        <v>368</v>
      </c>
    </row>
    <row r="740" spans="1:5" x14ac:dyDescent="0.25">
      <c r="A740" t="s">
        <v>572</v>
      </c>
      <c r="B740" t="str">
        <f>VLOOKUP(Counties_by_State_Code[[#This Row],[State_Code]],Territory_by_Code[],2)</f>
        <v>Indiana</v>
      </c>
      <c r="C740" t="s">
        <v>582</v>
      </c>
      <c r="D740">
        <v>33011</v>
      </c>
      <c r="E740">
        <v>487</v>
      </c>
    </row>
    <row r="741" spans="1:5" x14ac:dyDescent="0.25">
      <c r="A741" t="s">
        <v>572</v>
      </c>
      <c r="B741" t="str">
        <f>VLOOKUP(Counties_by_State_Code[[#This Row],[State_Code]],Territory_by_Code[],2)</f>
        <v>Indiana</v>
      </c>
      <c r="C741" t="s">
        <v>143</v>
      </c>
      <c r="D741">
        <v>66674</v>
      </c>
      <c r="E741">
        <v>414</v>
      </c>
    </row>
    <row r="742" spans="1:5" x14ac:dyDescent="0.25">
      <c r="A742" t="s">
        <v>572</v>
      </c>
      <c r="B742" t="str">
        <f>VLOOKUP(Counties_by_State_Code[[#This Row],[State_Code]],Territory_by_Code[],2)</f>
        <v>Indiana</v>
      </c>
      <c r="C742" t="s">
        <v>32</v>
      </c>
      <c r="D742">
        <v>30803</v>
      </c>
      <c r="E742">
        <v>543</v>
      </c>
    </row>
    <row r="743" spans="1:5" x14ac:dyDescent="0.25">
      <c r="A743" t="s">
        <v>572</v>
      </c>
      <c r="B743" t="str">
        <f>VLOOKUP(Counties_by_State_Code[[#This Row],[State_Code]],Territory_by_Code[],2)</f>
        <v>Indiana</v>
      </c>
      <c r="C743" t="s">
        <v>334</v>
      </c>
      <c r="D743">
        <v>347467</v>
      </c>
      <c r="E743">
        <v>394</v>
      </c>
    </row>
    <row r="744" spans="1:5" x14ac:dyDescent="0.25">
      <c r="A744" t="s">
        <v>572</v>
      </c>
      <c r="B744" t="str">
        <f>VLOOKUP(Counties_by_State_Code[[#This Row],[State_Code]],Territory_by_Code[],2)</f>
        <v>Indiana</v>
      </c>
      <c r="C744" t="s">
        <v>418</v>
      </c>
      <c r="D744">
        <v>79840</v>
      </c>
      <c r="E744">
        <v>306</v>
      </c>
    </row>
    <row r="745" spans="1:5" x14ac:dyDescent="0.25">
      <c r="A745" t="s">
        <v>572</v>
      </c>
      <c r="B745" t="str">
        <f>VLOOKUP(Counties_by_State_Code[[#This Row],[State_Code]],Territory_by_Code[],2)</f>
        <v>Indiana</v>
      </c>
      <c r="C745" t="s">
        <v>583</v>
      </c>
      <c r="D745">
        <v>39654</v>
      </c>
      <c r="E745">
        <v>485</v>
      </c>
    </row>
    <row r="746" spans="1:5" x14ac:dyDescent="0.25">
      <c r="A746" t="s">
        <v>572</v>
      </c>
      <c r="B746" t="str">
        <f>VLOOKUP(Counties_by_State_Code[[#This Row],[State_Code]],Territory_by_Code[],2)</f>
        <v>Indiana</v>
      </c>
      <c r="C746" t="s">
        <v>584</v>
      </c>
      <c r="D746">
        <v>174788</v>
      </c>
      <c r="E746">
        <v>407</v>
      </c>
    </row>
    <row r="747" spans="1:5" x14ac:dyDescent="0.25">
      <c r="A747" t="s">
        <v>572</v>
      </c>
      <c r="B747" t="str">
        <f>VLOOKUP(Counties_by_State_Code[[#This Row],[State_Code]],Territory_by_Code[],2)</f>
        <v>Indiana</v>
      </c>
      <c r="C747" t="s">
        <v>34</v>
      </c>
      <c r="D747">
        <v>48914</v>
      </c>
      <c r="E747">
        <v>392</v>
      </c>
    </row>
    <row r="748" spans="1:5" x14ac:dyDescent="0.25">
      <c r="A748" t="s">
        <v>572</v>
      </c>
      <c r="B748" t="str">
        <f>VLOOKUP(Counties_by_State_Code[[#This Row],[State_Code]],Territory_by_Code[],2)</f>
        <v>Indiana</v>
      </c>
      <c r="C748" t="s">
        <v>146</v>
      </c>
      <c r="D748">
        <v>83658</v>
      </c>
      <c r="E748">
        <v>293</v>
      </c>
    </row>
    <row r="749" spans="1:5" x14ac:dyDescent="0.25">
      <c r="A749" t="s">
        <v>572</v>
      </c>
      <c r="B749" t="str">
        <f>VLOOKUP(Counties_by_State_Code[[#This Row],[State_Code]],Territory_by_Code[],2)</f>
        <v>Indiana</v>
      </c>
      <c r="C749" t="s">
        <v>585</v>
      </c>
      <c r="D749">
        <v>36662</v>
      </c>
      <c r="E749">
        <v>383</v>
      </c>
    </row>
    <row r="750" spans="1:5" x14ac:dyDescent="0.25">
      <c r="A750" t="s">
        <v>572</v>
      </c>
      <c r="B750" t="str">
        <f>VLOOKUP(Counties_by_State_Code[[#This Row],[State_Code]],Territory_by_Code[],2)</f>
        <v>Indiana</v>
      </c>
      <c r="C750" t="s">
        <v>36</v>
      </c>
      <c r="D750">
        <v>46428</v>
      </c>
      <c r="E750">
        <v>509</v>
      </c>
    </row>
    <row r="751" spans="1:5" x14ac:dyDescent="0.25">
      <c r="A751" t="s">
        <v>572</v>
      </c>
      <c r="B751" t="str">
        <f>VLOOKUP(Counties_by_State_Code[[#This Row],[State_Code]],Territory_by_Code[],2)</f>
        <v>Indiana</v>
      </c>
      <c r="C751" t="s">
        <v>424</v>
      </c>
      <c r="D751">
        <v>32918</v>
      </c>
      <c r="E751">
        <v>560</v>
      </c>
    </row>
    <row r="752" spans="1:5" x14ac:dyDescent="0.25">
      <c r="A752" t="s">
        <v>572</v>
      </c>
      <c r="B752" t="str">
        <f>VLOOKUP(Counties_by_State_Code[[#This Row],[State_Code]],Territory_by_Code[],2)</f>
        <v>Indiana</v>
      </c>
      <c r="C752" t="s">
        <v>586</v>
      </c>
      <c r="D752">
        <v>20478</v>
      </c>
      <c r="E752">
        <v>384</v>
      </c>
    </row>
    <row r="753" spans="1:5" x14ac:dyDescent="0.25">
      <c r="A753" t="s">
        <v>572</v>
      </c>
      <c r="B753" t="str">
        <f>VLOOKUP(Counties_by_State_Code[[#This Row],[State_Code]],Territory_by_Code[],2)</f>
        <v>Indiana</v>
      </c>
      <c r="C753" t="s">
        <v>37</v>
      </c>
      <c r="D753">
        <v>33147</v>
      </c>
      <c r="E753">
        <v>361</v>
      </c>
    </row>
    <row r="754" spans="1:5" x14ac:dyDescent="0.25">
      <c r="A754" t="s">
        <v>572</v>
      </c>
      <c r="B754" t="str">
        <f>VLOOKUP(Counties_by_State_Code[[#This Row],[State_Code]],Territory_by_Code[],2)</f>
        <v>Indiana</v>
      </c>
      <c r="C754" t="s">
        <v>587</v>
      </c>
      <c r="D754">
        <v>27613</v>
      </c>
      <c r="E754">
        <v>377</v>
      </c>
    </row>
    <row r="755" spans="1:5" x14ac:dyDescent="0.25">
      <c r="A755" t="s">
        <v>572</v>
      </c>
      <c r="B755" t="str">
        <f>VLOOKUP(Counties_by_State_Code[[#This Row],[State_Code]],Territory_by_Code[],2)</f>
        <v>Indiana</v>
      </c>
      <c r="C755" t="s">
        <v>149</v>
      </c>
      <c r="D755">
        <v>161765</v>
      </c>
      <c r="E755">
        <v>320</v>
      </c>
    </row>
    <row r="756" spans="1:5" x14ac:dyDescent="0.25">
      <c r="A756" t="s">
        <v>572</v>
      </c>
      <c r="B756" t="str">
        <f>VLOOKUP(Counties_by_State_Code[[#This Row],[State_Code]],Territory_by_Code[],2)</f>
        <v>Indiana</v>
      </c>
      <c r="C756" t="s">
        <v>543</v>
      </c>
      <c r="D756">
        <v>36282</v>
      </c>
      <c r="E756">
        <v>516</v>
      </c>
    </row>
    <row r="757" spans="1:5" x14ac:dyDescent="0.25">
      <c r="A757" t="s">
        <v>572</v>
      </c>
      <c r="B757" t="str">
        <f>VLOOKUP(Counties_by_State_Code[[#This Row],[State_Code]],Territory_by_Code[],2)</f>
        <v>Indiana</v>
      </c>
      <c r="C757" t="s">
        <v>588</v>
      </c>
      <c r="D757">
        <v>80240</v>
      </c>
      <c r="E757">
        <v>531</v>
      </c>
    </row>
    <row r="758" spans="1:5" x14ac:dyDescent="0.25">
      <c r="A758" t="s">
        <v>572</v>
      </c>
      <c r="B758" t="str">
        <f>VLOOKUP(Counties_by_State_Code[[#This Row],[State_Code]],Territory_by_Code[],2)</f>
        <v>Indiana</v>
      </c>
      <c r="C758" t="s">
        <v>589</v>
      </c>
      <c r="D758">
        <v>40446</v>
      </c>
      <c r="E758">
        <v>380</v>
      </c>
    </row>
    <row r="759" spans="1:5" x14ac:dyDescent="0.25">
      <c r="A759" t="s">
        <v>572</v>
      </c>
      <c r="B759" t="str">
        <f>VLOOKUP(Counties_by_State_Code[[#This Row],[State_Code]],Territory_by_Code[],2)</f>
        <v>Indiana</v>
      </c>
      <c r="C759" t="s">
        <v>196</v>
      </c>
      <c r="D759">
        <v>498700</v>
      </c>
      <c r="E759">
        <v>499</v>
      </c>
    </row>
    <row r="760" spans="1:5" x14ac:dyDescent="0.25">
      <c r="A760" t="s">
        <v>572</v>
      </c>
      <c r="B760" t="str">
        <f>VLOOKUP(Counties_by_State_Code[[#This Row],[State_Code]],Territory_by_Code[],2)</f>
        <v>Indiana</v>
      </c>
      <c r="C760" t="s">
        <v>590</v>
      </c>
      <c r="D760">
        <v>112417</v>
      </c>
      <c r="E760">
        <v>598</v>
      </c>
    </row>
    <row r="761" spans="1:5" x14ac:dyDescent="0.25">
      <c r="A761" t="s">
        <v>572</v>
      </c>
      <c r="B761" t="str">
        <f>VLOOKUP(Counties_by_State_Code[[#This Row],[State_Code]],Territory_by_Code[],2)</f>
        <v>Indiana</v>
      </c>
      <c r="C761" t="s">
        <v>40</v>
      </c>
      <c r="D761">
        <v>45011</v>
      </c>
      <c r="E761">
        <v>449</v>
      </c>
    </row>
    <row r="762" spans="1:5" x14ac:dyDescent="0.25">
      <c r="A762" t="s">
        <v>572</v>
      </c>
      <c r="B762" t="str">
        <f>VLOOKUP(Counties_by_State_Code[[#This Row],[State_Code]],Territory_by_Code[],2)</f>
        <v>Indiana</v>
      </c>
      <c r="C762" t="s">
        <v>45</v>
      </c>
      <c r="D762">
        <v>130129</v>
      </c>
      <c r="E762">
        <v>452</v>
      </c>
    </row>
    <row r="763" spans="1:5" x14ac:dyDescent="0.25">
      <c r="A763" t="s">
        <v>572</v>
      </c>
      <c r="B763" t="str">
        <f>VLOOKUP(Counties_by_State_Code[[#This Row],[State_Code]],Territory_by_Code[],2)</f>
        <v>Indiana</v>
      </c>
      <c r="C763" t="s">
        <v>47</v>
      </c>
      <c r="D763">
        <v>977203</v>
      </c>
      <c r="E763">
        <v>396</v>
      </c>
    </row>
    <row r="764" spans="1:5" x14ac:dyDescent="0.25">
      <c r="A764" t="s">
        <v>572</v>
      </c>
      <c r="B764" t="str">
        <f>VLOOKUP(Counties_by_State_Code[[#This Row],[State_Code]],Territory_by_Code[],2)</f>
        <v>Indiana</v>
      </c>
      <c r="C764" t="s">
        <v>48</v>
      </c>
      <c r="D764">
        <v>46095</v>
      </c>
      <c r="E764">
        <v>444</v>
      </c>
    </row>
    <row r="765" spans="1:5" x14ac:dyDescent="0.25">
      <c r="A765" t="s">
        <v>572</v>
      </c>
      <c r="B765" t="str">
        <f>VLOOKUP(Counties_by_State_Code[[#This Row],[State_Code]],Territory_by_Code[],2)</f>
        <v>Indiana</v>
      </c>
      <c r="C765" t="s">
        <v>346</v>
      </c>
      <c r="D765">
        <v>9812</v>
      </c>
      <c r="E765">
        <v>336</v>
      </c>
    </row>
    <row r="766" spans="1:5" x14ac:dyDescent="0.25">
      <c r="A766" t="s">
        <v>572</v>
      </c>
      <c r="B766" t="str">
        <f>VLOOKUP(Counties_by_State_Code[[#This Row],[State_Code]],Territory_by_Code[],2)</f>
        <v>Indiana</v>
      </c>
      <c r="C766" t="s">
        <v>591</v>
      </c>
      <c r="D766">
        <v>35962</v>
      </c>
      <c r="E766">
        <v>374</v>
      </c>
    </row>
    <row r="767" spans="1:5" x14ac:dyDescent="0.25">
      <c r="A767" t="s">
        <v>572</v>
      </c>
      <c r="B767" t="str">
        <f>VLOOKUP(Counties_by_State_Code[[#This Row],[State_Code]],Territory_by_Code[],2)</f>
        <v>Indiana</v>
      </c>
      <c r="C767" t="s">
        <v>50</v>
      </c>
      <c r="D767">
        <v>139718</v>
      </c>
      <c r="E767">
        <v>395</v>
      </c>
    </row>
    <row r="768" spans="1:5" x14ac:dyDescent="0.25">
      <c r="A768" t="s">
        <v>572</v>
      </c>
      <c r="B768" t="str">
        <f>VLOOKUP(Counties_by_State_Code[[#This Row],[State_Code]],Territory_by_Code[],2)</f>
        <v>Indiana</v>
      </c>
      <c r="C768" t="s">
        <v>51</v>
      </c>
      <c r="D768">
        <v>37936</v>
      </c>
      <c r="E768">
        <v>505</v>
      </c>
    </row>
    <row r="769" spans="1:5" x14ac:dyDescent="0.25">
      <c r="A769" t="s">
        <v>572</v>
      </c>
      <c r="B769" t="str">
        <f>VLOOKUP(Counties_by_State_Code[[#This Row],[State_Code]],Territory_by_Code[],2)</f>
        <v>Indiana</v>
      </c>
      <c r="C769" t="s">
        <v>52</v>
      </c>
      <c r="D769">
        <v>71780</v>
      </c>
      <c r="E769">
        <v>404</v>
      </c>
    </row>
    <row r="770" spans="1:5" x14ac:dyDescent="0.25">
      <c r="A770" t="s">
        <v>572</v>
      </c>
      <c r="B770" t="str">
        <f>VLOOKUP(Counties_by_State_Code[[#This Row],[State_Code]],Territory_by_Code[],2)</f>
        <v>Indiana</v>
      </c>
      <c r="C770" t="s">
        <v>158</v>
      </c>
      <c r="D770">
        <v>13830</v>
      </c>
      <c r="E770">
        <v>402</v>
      </c>
    </row>
    <row r="771" spans="1:5" x14ac:dyDescent="0.25">
      <c r="A771" t="s">
        <v>572</v>
      </c>
      <c r="B771" t="str">
        <f>VLOOKUP(Counties_by_State_Code[[#This Row],[State_Code]],Territory_by_Code[],2)</f>
        <v>Indiana</v>
      </c>
      <c r="C771" t="s">
        <v>592</v>
      </c>
      <c r="D771">
        <v>47457</v>
      </c>
      <c r="E771">
        <v>411</v>
      </c>
    </row>
    <row r="772" spans="1:5" x14ac:dyDescent="0.25">
      <c r="A772" t="s">
        <v>572</v>
      </c>
      <c r="B772" t="str">
        <f>VLOOKUP(Counties_by_State_Code[[#This Row],[State_Code]],Territory_by_Code[],2)</f>
        <v>Indiana</v>
      </c>
      <c r="C772" t="s">
        <v>593</v>
      </c>
      <c r="D772">
        <v>5940</v>
      </c>
      <c r="E772">
        <v>86</v>
      </c>
    </row>
    <row r="773" spans="1:5" x14ac:dyDescent="0.25">
      <c r="A773" t="s">
        <v>572</v>
      </c>
      <c r="B773" t="str">
        <f>VLOOKUP(Counties_by_State_Code[[#This Row],[State_Code]],Territory_by_Code[],2)</f>
        <v>Indiana</v>
      </c>
      <c r="C773" t="s">
        <v>208</v>
      </c>
      <c r="D773">
        <v>19867</v>
      </c>
      <c r="E773">
        <v>398</v>
      </c>
    </row>
    <row r="774" spans="1:5" x14ac:dyDescent="0.25">
      <c r="A774" t="s">
        <v>572</v>
      </c>
      <c r="B774" t="str">
        <f>VLOOKUP(Counties_by_State_Code[[#This Row],[State_Code]],Territory_by_Code[],2)</f>
        <v>Indiana</v>
      </c>
      <c r="C774" t="s">
        <v>594</v>
      </c>
      <c r="D774">
        <v>21321</v>
      </c>
      <c r="E774">
        <v>385</v>
      </c>
    </row>
    <row r="775" spans="1:5" x14ac:dyDescent="0.25">
      <c r="A775" t="s">
        <v>572</v>
      </c>
      <c r="B775" t="str">
        <f>VLOOKUP(Counties_by_State_Code[[#This Row],[State_Code]],Territory_by_Code[],2)</f>
        <v>Indiana</v>
      </c>
      <c r="C775" t="s">
        <v>595</v>
      </c>
      <c r="D775">
        <v>16156</v>
      </c>
      <c r="E775">
        <v>445</v>
      </c>
    </row>
    <row r="776" spans="1:5" x14ac:dyDescent="0.25">
      <c r="A776" t="s">
        <v>572</v>
      </c>
      <c r="B776" t="str">
        <f>VLOOKUP(Counties_by_State_Code[[#This Row],[State_Code]],Territory_by_Code[],2)</f>
        <v>Indiana</v>
      </c>
      <c r="C776" t="s">
        <v>53</v>
      </c>
      <c r="D776">
        <v>19170</v>
      </c>
      <c r="E776">
        <v>382</v>
      </c>
    </row>
    <row r="777" spans="1:5" x14ac:dyDescent="0.25">
      <c r="A777" t="s">
        <v>572</v>
      </c>
      <c r="B777" t="str">
        <f>VLOOKUP(Counties_by_State_Code[[#This Row],[State_Code]],Territory_by_Code[],2)</f>
        <v>Indiana</v>
      </c>
      <c r="C777" t="s">
        <v>55</v>
      </c>
      <c r="D777">
        <v>12250</v>
      </c>
      <c r="E777">
        <v>334</v>
      </c>
    </row>
    <row r="778" spans="1:5" x14ac:dyDescent="0.25">
      <c r="A778" t="s">
        <v>572</v>
      </c>
      <c r="B778" t="str">
        <f>VLOOKUP(Counties_by_State_Code[[#This Row],[State_Code]],Territory_by_Code[],2)</f>
        <v>Indiana</v>
      </c>
      <c r="C778" t="s">
        <v>596</v>
      </c>
      <c r="D778">
        <v>173215</v>
      </c>
      <c r="E778">
        <v>418</v>
      </c>
    </row>
    <row r="779" spans="1:5" x14ac:dyDescent="0.25">
      <c r="A779" t="s">
        <v>572</v>
      </c>
      <c r="B779" t="str">
        <f>VLOOKUP(Counties_by_State_Code[[#This Row],[State_Code]],Territory_by_Code[],2)</f>
        <v>Indiana</v>
      </c>
      <c r="C779" t="s">
        <v>597</v>
      </c>
      <c r="D779">
        <v>25222</v>
      </c>
      <c r="E779">
        <v>410</v>
      </c>
    </row>
    <row r="780" spans="1:5" x14ac:dyDescent="0.25">
      <c r="A780" t="s">
        <v>572</v>
      </c>
      <c r="B780" t="str">
        <f>VLOOKUP(Counties_by_State_Code[[#This Row],[State_Code]],Territory_by_Code[],2)</f>
        <v>Indiana</v>
      </c>
      <c r="C780" t="s">
        <v>165</v>
      </c>
      <c r="D780">
        <v>12514</v>
      </c>
      <c r="E780">
        <v>434</v>
      </c>
    </row>
    <row r="781" spans="1:5" x14ac:dyDescent="0.25">
      <c r="A781" t="s">
        <v>572</v>
      </c>
      <c r="B781" t="str">
        <f>VLOOKUP(Counties_by_State_Code[[#This Row],[State_Code]],Territory_by_Code[],2)</f>
        <v>Indiana</v>
      </c>
      <c r="C781" t="s">
        <v>355</v>
      </c>
      <c r="D781">
        <v>36726</v>
      </c>
      <c r="E781">
        <v>481</v>
      </c>
    </row>
    <row r="782" spans="1:5" x14ac:dyDescent="0.25">
      <c r="A782" t="s">
        <v>572</v>
      </c>
      <c r="B782" t="str">
        <f>VLOOKUP(Counties_by_State_Code[[#This Row],[State_Code]],Territory_by_Code[],2)</f>
        <v>Indiana</v>
      </c>
      <c r="C782" t="s">
        <v>56</v>
      </c>
      <c r="D782">
        <v>24502</v>
      </c>
      <c r="E782">
        <v>452</v>
      </c>
    </row>
    <row r="783" spans="1:5" x14ac:dyDescent="0.25">
      <c r="A783" t="s">
        <v>572</v>
      </c>
      <c r="B783" t="str">
        <f>VLOOKUP(Counties_by_State_Code[[#This Row],[State_Code]],Territory_by_Code[],2)</f>
        <v>Indiana</v>
      </c>
      <c r="C783" t="s">
        <v>598</v>
      </c>
      <c r="D783">
        <v>28995</v>
      </c>
      <c r="E783">
        <v>446</v>
      </c>
    </row>
    <row r="784" spans="1:5" x14ac:dyDescent="0.25">
      <c r="A784" t="s">
        <v>572</v>
      </c>
      <c r="B784" t="str">
        <f>VLOOKUP(Counties_by_State_Code[[#This Row],[State_Code]],Territory_by_Code[],2)</f>
        <v>Indiana</v>
      </c>
      <c r="C784" t="s">
        <v>599</v>
      </c>
      <c r="D784">
        <v>16752</v>
      </c>
      <c r="E784">
        <v>408</v>
      </c>
    </row>
    <row r="785" spans="1:5" x14ac:dyDescent="0.25">
      <c r="A785" t="s">
        <v>572</v>
      </c>
      <c r="B785" t="str">
        <f>VLOOKUP(Counties_by_State_Code[[#This Row],[State_Code]],Territory_by_Code[],2)</f>
        <v>Indiana</v>
      </c>
      <c r="C785" t="s">
        <v>600</v>
      </c>
      <c r="D785">
        <v>272912</v>
      </c>
      <c r="E785">
        <v>458</v>
      </c>
    </row>
    <row r="786" spans="1:5" x14ac:dyDescent="0.25">
      <c r="A786" t="s">
        <v>572</v>
      </c>
      <c r="B786" t="str">
        <f>VLOOKUP(Counties_by_State_Code[[#This Row],[State_Code]],Territory_by_Code[],2)</f>
        <v>Indiana</v>
      </c>
      <c r="C786" t="s">
        <v>168</v>
      </c>
      <c r="D786">
        <v>24384</v>
      </c>
      <c r="E786">
        <v>190</v>
      </c>
    </row>
    <row r="787" spans="1:5" x14ac:dyDescent="0.25">
      <c r="A787" t="s">
        <v>572</v>
      </c>
      <c r="B787" t="str">
        <f>VLOOKUP(Counties_by_State_Code[[#This Row],[State_Code]],Territory_by_Code[],2)</f>
        <v>Indiana</v>
      </c>
      <c r="C787" t="s">
        <v>58</v>
      </c>
      <c r="D787">
        <v>45055</v>
      </c>
      <c r="E787">
        <v>411</v>
      </c>
    </row>
    <row r="788" spans="1:5" x14ac:dyDescent="0.25">
      <c r="A788" t="s">
        <v>572</v>
      </c>
      <c r="B788" t="str">
        <f>VLOOKUP(Counties_by_State_Code[[#This Row],[State_Code]],Territory_by_Code[],2)</f>
        <v>Indiana</v>
      </c>
      <c r="C788" t="s">
        <v>601</v>
      </c>
      <c r="D788">
        <v>19810</v>
      </c>
      <c r="E788">
        <v>397</v>
      </c>
    </row>
    <row r="789" spans="1:5" x14ac:dyDescent="0.25">
      <c r="A789" t="s">
        <v>572</v>
      </c>
      <c r="B789" t="str">
        <f>VLOOKUP(Counties_by_State_Code[[#This Row],[State_Code]],Territory_by_Code[],2)</f>
        <v>Indiana</v>
      </c>
      <c r="C789" t="s">
        <v>602</v>
      </c>
      <c r="D789">
        <v>23371</v>
      </c>
      <c r="E789">
        <v>309</v>
      </c>
    </row>
    <row r="790" spans="1:5" x14ac:dyDescent="0.25">
      <c r="A790" t="s">
        <v>572</v>
      </c>
      <c r="B790" t="str">
        <f>VLOOKUP(Counties_by_State_Code[[#This Row],[State_Code]],Territory_by_Code[],2)</f>
        <v>Indiana</v>
      </c>
      <c r="C790" t="s">
        <v>603</v>
      </c>
      <c r="D790">
        <v>34435</v>
      </c>
      <c r="E790">
        <v>309</v>
      </c>
    </row>
    <row r="791" spans="1:5" x14ac:dyDescent="0.25">
      <c r="A791" t="s">
        <v>572</v>
      </c>
      <c r="B791" t="str">
        <f>VLOOKUP(Counties_by_State_Code[[#This Row],[State_Code]],Territory_by_Code[],2)</f>
        <v>Indiana</v>
      </c>
      <c r="C791" t="s">
        <v>604</v>
      </c>
      <c r="D791">
        <v>20817</v>
      </c>
      <c r="E791">
        <v>447</v>
      </c>
    </row>
    <row r="792" spans="1:5" x14ac:dyDescent="0.25">
      <c r="A792" t="s">
        <v>572</v>
      </c>
      <c r="B792" t="str">
        <f>VLOOKUP(Counties_by_State_Code[[#This Row],[State_Code]],Territory_by_Code[],2)</f>
        <v>Indiana</v>
      </c>
      <c r="C792" t="s">
        <v>605</v>
      </c>
      <c r="D792">
        <v>9737</v>
      </c>
      <c r="E792">
        <v>221</v>
      </c>
    </row>
    <row r="793" spans="1:5" x14ac:dyDescent="0.25">
      <c r="A793" t="s">
        <v>572</v>
      </c>
      <c r="B793" t="str">
        <f>VLOOKUP(Counties_by_State_Code[[#This Row],[State_Code]],Territory_by_Code[],2)</f>
        <v>Indiana</v>
      </c>
      <c r="C793" t="s">
        <v>606</v>
      </c>
      <c r="D793">
        <v>186251</v>
      </c>
      <c r="E793">
        <v>500</v>
      </c>
    </row>
    <row r="794" spans="1:5" x14ac:dyDescent="0.25">
      <c r="A794" t="s">
        <v>572</v>
      </c>
      <c r="B794" t="str">
        <f>VLOOKUP(Counties_by_State_Code[[#This Row],[State_Code]],Territory_by_Code[],2)</f>
        <v>Indiana</v>
      </c>
      <c r="C794" t="s">
        <v>607</v>
      </c>
      <c r="D794">
        <v>15359</v>
      </c>
      <c r="E794">
        <v>261</v>
      </c>
    </row>
    <row r="795" spans="1:5" x14ac:dyDescent="0.25">
      <c r="A795" t="s">
        <v>572</v>
      </c>
      <c r="B795" t="str">
        <f>VLOOKUP(Counties_by_State_Code[[#This Row],[State_Code]],Territory_by_Code[],2)</f>
        <v>Indiana</v>
      </c>
      <c r="C795" t="s">
        <v>174</v>
      </c>
      <c r="D795">
        <v>7087</v>
      </c>
      <c r="E795">
        <v>161</v>
      </c>
    </row>
    <row r="796" spans="1:5" x14ac:dyDescent="0.25">
      <c r="A796" t="s">
        <v>572</v>
      </c>
      <c r="B796" t="str">
        <f>VLOOKUP(Counties_by_State_Code[[#This Row],[State_Code]],Territory_by_Code[],2)</f>
        <v>Indiana</v>
      </c>
      <c r="C796" t="s">
        <v>608</v>
      </c>
      <c r="D796">
        <v>180136</v>
      </c>
      <c r="E796">
        <v>233</v>
      </c>
    </row>
    <row r="797" spans="1:5" x14ac:dyDescent="0.25">
      <c r="A797" t="s">
        <v>572</v>
      </c>
      <c r="B797" t="str">
        <f>VLOOKUP(Counties_by_State_Code[[#This Row],[State_Code]],Territory_by_Code[],2)</f>
        <v>Indiana</v>
      </c>
      <c r="C797" t="s">
        <v>609</v>
      </c>
      <c r="D797">
        <v>15439</v>
      </c>
      <c r="E797">
        <v>257</v>
      </c>
    </row>
    <row r="798" spans="1:5" x14ac:dyDescent="0.25">
      <c r="A798" t="s">
        <v>572</v>
      </c>
      <c r="B798" t="str">
        <f>VLOOKUP(Counties_by_State_Code[[#This Row],[State_Code]],Territory_by_Code[],2)</f>
        <v>Indiana</v>
      </c>
      <c r="C798" t="s">
        <v>610</v>
      </c>
      <c r="D798">
        <v>106153</v>
      </c>
      <c r="E798">
        <v>403</v>
      </c>
    </row>
    <row r="799" spans="1:5" x14ac:dyDescent="0.25">
      <c r="A799" t="s">
        <v>572</v>
      </c>
      <c r="B799" t="str">
        <f>VLOOKUP(Counties_by_State_Code[[#This Row],[State_Code]],Territory_by_Code[],2)</f>
        <v>Indiana</v>
      </c>
      <c r="C799" t="s">
        <v>566</v>
      </c>
      <c r="D799">
        <v>30976</v>
      </c>
      <c r="E799">
        <v>412</v>
      </c>
    </row>
    <row r="800" spans="1:5" x14ac:dyDescent="0.25">
      <c r="A800" t="s">
        <v>572</v>
      </c>
      <c r="B800" t="str">
        <f>VLOOKUP(Counties_by_State_Code[[#This Row],[State_Code]],Territory_by_Code[],2)</f>
        <v>Indiana</v>
      </c>
      <c r="C800" t="s">
        <v>467</v>
      </c>
      <c r="D800">
        <v>8440</v>
      </c>
      <c r="E800">
        <v>365</v>
      </c>
    </row>
    <row r="801" spans="1:5" x14ac:dyDescent="0.25">
      <c r="A801" t="s">
        <v>572</v>
      </c>
      <c r="B801" t="str">
        <f>VLOOKUP(Counties_by_State_Code[[#This Row],[State_Code]],Territory_by_Code[],2)</f>
        <v>Indiana</v>
      </c>
      <c r="C801" t="s">
        <v>611</v>
      </c>
      <c r="D801">
        <v>63898</v>
      </c>
      <c r="E801">
        <v>385</v>
      </c>
    </row>
    <row r="802" spans="1:5" x14ac:dyDescent="0.25">
      <c r="A802" t="s">
        <v>572</v>
      </c>
      <c r="B802" t="str">
        <f>VLOOKUP(Counties_by_State_Code[[#This Row],[State_Code]],Territory_by_Code[],2)</f>
        <v>Indiana</v>
      </c>
      <c r="C802" t="s">
        <v>65</v>
      </c>
      <c r="D802">
        <v>28182</v>
      </c>
      <c r="E802">
        <v>514</v>
      </c>
    </row>
    <row r="803" spans="1:5" x14ac:dyDescent="0.25">
      <c r="A803" t="s">
        <v>572</v>
      </c>
      <c r="B803" t="str">
        <f>VLOOKUP(Counties_by_State_Code[[#This Row],[State_Code]],Territory_by_Code[],2)</f>
        <v>Indiana</v>
      </c>
      <c r="C803" t="s">
        <v>468</v>
      </c>
      <c r="D803">
        <v>66553</v>
      </c>
      <c r="E803">
        <v>402</v>
      </c>
    </row>
    <row r="804" spans="1:5" x14ac:dyDescent="0.25">
      <c r="A804" t="s">
        <v>572</v>
      </c>
      <c r="B804" t="str">
        <f>VLOOKUP(Counties_by_State_Code[[#This Row],[State_Code]],Territory_by_Code[],2)</f>
        <v>Indiana</v>
      </c>
      <c r="C804" t="s">
        <v>612</v>
      </c>
      <c r="D804">
        <v>28180</v>
      </c>
      <c r="E804">
        <v>368</v>
      </c>
    </row>
    <row r="805" spans="1:5" x14ac:dyDescent="0.25">
      <c r="A805" t="s">
        <v>572</v>
      </c>
      <c r="B805" t="str">
        <f>VLOOKUP(Counties_by_State_Code[[#This Row],[State_Code]],Territory_by_Code[],2)</f>
        <v>Indiana</v>
      </c>
      <c r="C805" t="s">
        <v>176</v>
      </c>
      <c r="D805">
        <v>24688</v>
      </c>
      <c r="E805">
        <v>505</v>
      </c>
    </row>
    <row r="806" spans="1:5" x14ac:dyDescent="0.25">
      <c r="A806" t="s">
        <v>572</v>
      </c>
      <c r="B806" t="str">
        <f>VLOOKUP(Counties_by_State_Code[[#This Row],[State_Code]],Territory_by_Code[],2)</f>
        <v>Indiana</v>
      </c>
      <c r="C806" t="s">
        <v>613</v>
      </c>
      <c r="D806">
        <v>34191</v>
      </c>
      <c r="E806">
        <v>336</v>
      </c>
    </row>
    <row r="807" spans="1:5" x14ac:dyDescent="0.25">
      <c r="A807" t="s">
        <v>615</v>
      </c>
      <c r="B807" t="str">
        <f>VLOOKUP(Counties_by_State_Code[[#This Row],[State_Code]],Territory_by_Code[],2)</f>
        <v>Iowa</v>
      </c>
      <c r="C807" t="s">
        <v>614</v>
      </c>
      <c r="D807">
        <v>7496</v>
      </c>
      <c r="E807">
        <v>569</v>
      </c>
    </row>
    <row r="808" spans="1:5" x14ac:dyDescent="0.25">
      <c r="A808" t="s">
        <v>615</v>
      </c>
      <c r="B808" t="str">
        <f>VLOOKUP(Counties_by_State_Code[[#This Row],[State_Code]],Territory_by_Code[],2)</f>
        <v>Iowa</v>
      </c>
      <c r="C808" t="s">
        <v>236</v>
      </c>
      <c r="D808">
        <v>3704</v>
      </c>
      <c r="E808">
        <v>424</v>
      </c>
    </row>
    <row r="809" spans="1:5" x14ac:dyDescent="0.25">
      <c r="A809" t="s">
        <v>615</v>
      </c>
      <c r="B809" t="str">
        <f>VLOOKUP(Counties_by_State_Code[[#This Row],[State_Code]],Territory_by_Code[],2)</f>
        <v>Iowa</v>
      </c>
      <c r="C809" t="s">
        <v>616</v>
      </c>
      <c r="D809">
        <v>14061</v>
      </c>
      <c r="E809">
        <v>640</v>
      </c>
    </row>
    <row r="810" spans="1:5" x14ac:dyDescent="0.25">
      <c r="A810" t="s">
        <v>615</v>
      </c>
      <c r="B810" t="str">
        <f>VLOOKUP(Counties_by_State_Code[[#This Row],[State_Code]],Territory_by_Code[],2)</f>
        <v>Iowa</v>
      </c>
      <c r="C810" t="s">
        <v>617</v>
      </c>
      <c r="D810">
        <v>12317</v>
      </c>
      <c r="E810">
        <v>496</v>
      </c>
    </row>
    <row r="811" spans="1:5" x14ac:dyDescent="0.25">
      <c r="A811" t="s">
        <v>615</v>
      </c>
      <c r="B811" t="str">
        <f>VLOOKUP(Counties_by_State_Code[[#This Row],[State_Code]],Territory_by_Code[],2)</f>
        <v>Iowa</v>
      </c>
      <c r="C811" t="s">
        <v>618</v>
      </c>
      <c r="D811">
        <v>5674</v>
      </c>
      <c r="E811">
        <v>443</v>
      </c>
    </row>
    <row r="812" spans="1:5" x14ac:dyDescent="0.25">
      <c r="A812" t="s">
        <v>615</v>
      </c>
      <c r="B812" t="str">
        <f>VLOOKUP(Counties_by_State_Code[[#This Row],[State_Code]],Territory_by_Code[],2)</f>
        <v>Iowa</v>
      </c>
      <c r="C812" t="s">
        <v>125</v>
      </c>
      <c r="D812">
        <v>25575</v>
      </c>
      <c r="E812">
        <v>716</v>
      </c>
    </row>
    <row r="813" spans="1:5" x14ac:dyDescent="0.25">
      <c r="A813" t="s">
        <v>615</v>
      </c>
      <c r="B813" t="str">
        <f>VLOOKUP(Counties_by_State_Code[[#This Row],[State_Code]],Territory_by_Code[],2)</f>
        <v>Iowa</v>
      </c>
      <c r="C813" t="s">
        <v>619</v>
      </c>
      <c r="D813">
        <v>131144</v>
      </c>
      <c r="E813">
        <v>567</v>
      </c>
    </row>
    <row r="814" spans="1:5" x14ac:dyDescent="0.25">
      <c r="A814" t="s">
        <v>615</v>
      </c>
      <c r="B814" t="str">
        <f>VLOOKUP(Counties_by_State_Code[[#This Row],[State_Code]],Territory_by_Code[],2)</f>
        <v>Iowa</v>
      </c>
      <c r="C814" t="s">
        <v>126</v>
      </c>
      <c r="D814">
        <v>26715</v>
      </c>
      <c r="E814">
        <v>572</v>
      </c>
    </row>
    <row r="815" spans="1:5" x14ac:dyDescent="0.25">
      <c r="A815" t="s">
        <v>615</v>
      </c>
      <c r="B815" t="str">
        <f>VLOOKUP(Counties_by_State_Code[[#This Row],[State_Code]],Territory_by_Code[],2)</f>
        <v>Iowa</v>
      </c>
      <c r="C815" t="s">
        <v>620</v>
      </c>
      <c r="D815">
        <v>24988</v>
      </c>
      <c r="E815">
        <v>428</v>
      </c>
    </row>
    <row r="816" spans="1:5" x14ac:dyDescent="0.25">
      <c r="A816" t="s">
        <v>615</v>
      </c>
      <c r="B816" t="str">
        <f>VLOOKUP(Counties_by_State_Code[[#This Row],[State_Code]],Territory_by_Code[],2)</f>
        <v>Iowa</v>
      </c>
      <c r="C816" t="s">
        <v>621</v>
      </c>
      <c r="D816">
        <v>20565</v>
      </c>
      <c r="E816">
        <v>571</v>
      </c>
    </row>
    <row r="817" spans="1:5" x14ac:dyDescent="0.25">
      <c r="A817" t="s">
        <v>615</v>
      </c>
      <c r="B817" t="str">
        <f>VLOOKUP(Counties_by_State_Code[[#This Row],[State_Code]],Territory_by_Code[],2)</f>
        <v>Iowa</v>
      </c>
      <c r="C817" t="s">
        <v>622</v>
      </c>
      <c r="D817">
        <v>20823</v>
      </c>
      <c r="E817">
        <v>575</v>
      </c>
    </row>
    <row r="818" spans="1:5" x14ac:dyDescent="0.25">
      <c r="A818" t="s">
        <v>615</v>
      </c>
      <c r="B818" t="str">
        <f>VLOOKUP(Counties_by_State_Code[[#This Row],[State_Code]],Territory_by_Code[],2)</f>
        <v>Iowa</v>
      </c>
      <c r="C818" t="s">
        <v>7</v>
      </c>
      <c r="D818">
        <v>14334</v>
      </c>
      <c r="E818">
        <v>580</v>
      </c>
    </row>
    <row r="819" spans="1:5" x14ac:dyDescent="0.25">
      <c r="A819" t="s">
        <v>615</v>
      </c>
      <c r="B819" t="str">
        <f>VLOOKUP(Counties_by_State_Code[[#This Row],[State_Code]],Territory_by_Code[],2)</f>
        <v>Iowa</v>
      </c>
      <c r="C819" t="s">
        <v>8</v>
      </c>
      <c r="D819">
        <v>9927</v>
      </c>
      <c r="E819">
        <v>570</v>
      </c>
    </row>
    <row r="820" spans="1:5" x14ac:dyDescent="0.25">
      <c r="A820" t="s">
        <v>615</v>
      </c>
      <c r="B820" t="str">
        <f>VLOOKUP(Counties_by_State_Code[[#This Row],[State_Code]],Territory_by_Code[],2)</f>
        <v>Iowa</v>
      </c>
      <c r="C820" t="s">
        <v>128</v>
      </c>
      <c r="D820">
        <v>20760</v>
      </c>
      <c r="E820">
        <v>569</v>
      </c>
    </row>
    <row r="821" spans="1:5" x14ac:dyDescent="0.25">
      <c r="A821" t="s">
        <v>615</v>
      </c>
      <c r="B821" t="str">
        <f>VLOOKUP(Counties_by_State_Code[[#This Row],[State_Code]],Territory_by_Code[],2)</f>
        <v>Iowa</v>
      </c>
      <c r="C821" t="s">
        <v>522</v>
      </c>
      <c r="D821">
        <v>13127</v>
      </c>
      <c r="E821">
        <v>564</v>
      </c>
    </row>
    <row r="822" spans="1:5" x14ac:dyDescent="0.25">
      <c r="A822" t="s">
        <v>615</v>
      </c>
      <c r="B822" t="str">
        <f>VLOOKUP(Counties_by_State_Code[[#This Row],[State_Code]],Territory_by_Code[],2)</f>
        <v>Iowa</v>
      </c>
      <c r="C822" t="s">
        <v>623</v>
      </c>
      <c r="D822">
        <v>18505</v>
      </c>
      <c r="E822">
        <v>580</v>
      </c>
    </row>
    <row r="823" spans="1:5" x14ac:dyDescent="0.25">
      <c r="A823" t="s">
        <v>615</v>
      </c>
      <c r="B823" t="str">
        <f>VLOOKUP(Counties_by_State_Code[[#This Row],[State_Code]],Territory_by_Code[],2)</f>
        <v>Iowa</v>
      </c>
      <c r="C823" t="s">
        <v>624</v>
      </c>
      <c r="D823">
        <v>43127</v>
      </c>
      <c r="E823">
        <v>568</v>
      </c>
    </row>
    <row r="824" spans="1:5" x14ac:dyDescent="0.25">
      <c r="A824" t="s">
        <v>615</v>
      </c>
      <c r="B824" t="str">
        <f>VLOOKUP(Counties_by_State_Code[[#This Row],[State_Code]],Territory_by_Code[],2)</f>
        <v>Iowa</v>
      </c>
      <c r="C824" t="s">
        <v>10</v>
      </c>
      <c r="D824">
        <v>11658</v>
      </c>
      <c r="E824">
        <v>577</v>
      </c>
    </row>
    <row r="825" spans="1:5" x14ac:dyDescent="0.25">
      <c r="A825" t="s">
        <v>615</v>
      </c>
      <c r="B825" t="str">
        <f>VLOOKUP(Counties_by_State_Code[[#This Row],[State_Code]],Territory_by_Code[],2)</f>
        <v>Iowa</v>
      </c>
      <c r="C825" t="s">
        <v>625</v>
      </c>
      <c r="D825">
        <v>12012</v>
      </c>
      <c r="E825">
        <v>505</v>
      </c>
    </row>
    <row r="826" spans="1:5" x14ac:dyDescent="0.25">
      <c r="A826" t="s">
        <v>615</v>
      </c>
      <c r="B826" t="str">
        <f>VLOOKUP(Counties_by_State_Code[[#This Row],[State_Code]],Territory_by_Code[],2)</f>
        <v>Iowa</v>
      </c>
      <c r="C826" t="s">
        <v>13</v>
      </c>
      <c r="D826">
        <v>9748</v>
      </c>
      <c r="E826">
        <v>431</v>
      </c>
    </row>
    <row r="827" spans="1:5" x14ac:dyDescent="0.25">
      <c r="A827" t="s">
        <v>615</v>
      </c>
      <c r="B827" t="str">
        <f>VLOOKUP(Counties_by_State_Code[[#This Row],[State_Code]],Territory_by_Code[],2)</f>
        <v>Iowa</v>
      </c>
      <c r="C827" t="s">
        <v>14</v>
      </c>
      <c r="D827">
        <v>16384</v>
      </c>
      <c r="E827">
        <v>569</v>
      </c>
    </row>
    <row r="828" spans="1:5" x14ac:dyDescent="0.25">
      <c r="A828" t="s">
        <v>615</v>
      </c>
      <c r="B828" t="str">
        <f>VLOOKUP(Counties_by_State_Code[[#This Row],[State_Code]],Territory_by_Code[],2)</f>
        <v>Iowa</v>
      </c>
      <c r="C828" t="s">
        <v>389</v>
      </c>
      <c r="D828">
        <v>17043</v>
      </c>
      <c r="E828">
        <v>779</v>
      </c>
    </row>
    <row r="829" spans="1:5" x14ac:dyDescent="0.25">
      <c r="A829" t="s">
        <v>615</v>
      </c>
      <c r="B829" t="str">
        <f>VLOOKUP(Counties_by_State_Code[[#This Row],[State_Code]],Territory_by_Code[],2)</f>
        <v>Iowa</v>
      </c>
      <c r="C829" t="s">
        <v>525</v>
      </c>
      <c r="D829">
        <v>46460</v>
      </c>
      <c r="E829">
        <v>695</v>
      </c>
    </row>
    <row r="830" spans="1:5" x14ac:dyDescent="0.25">
      <c r="A830" t="s">
        <v>615</v>
      </c>
      <c r="B830" t="str">
        <f>VLOOKUP(Counties_by_State_Code[[#This Row],[State_Code]],Territory_by_Code[],2)</f>
        <v>Iowa</v>
      </c>
      <c r="C830" t="s">
        <v>135</v>
      </c>
      <c r="D830">
        <v>16525</v>
      </c>
      <c r="E830">
        <v>714</v>
      </c>
    </row>
    <row r="831" spans="1:5" x14ac:dyDescent="0.25">
      <c r="A831" t="s">
        <v>615</v>
      </c>
      <c r="B831" t="str">
        <f>VLOOKUP(Counties_by_State_Code[[#This Row],[State_Code]],Territory_by_Code[],2)</f>
        <v>Iowa</v>
      </c>
      <c r="C831" t="s">
        <v>24</v>
      </c>
      <c r="D831">
        <v>99678</v>
      </c>
      <c r="E831">
        <v>586</v>
      </c>
    </row>
    <row r="832" spans="1:5" x14ac:dyDescent="0.25">
      <c r="A832" t="s">
        <v>615</v>
      </c>
      <c r="B832" t="str">
        <f>VLOOKUP(Counties_by_State_Code[[#This Row],[State_Code]],Territory_by_Code[],2)</f>
        <v>Iowa</v>
      </c>
      <c r="C832" t="s">
        <v>626</v>
      </c>
      <c r="D832">
        <v>9110</v>
      </c>
      <c r="E832">
        <v>503</v>
      </c>
    </row>
    <row r="833" spans="1:5" x14ac:dyDescent="0.25">
      <c r="A833" t="s">
        <v>615</v>
      </c>
      <c r="B833" t="str">
        <f>VLOOKUP(Counties_by_State_Code[[#This Row],[State_Code]],Territory_by_Code[],2)</f>
        <v>Iowa</v>
      </c>
      <c r="C833" t="s">
        <v>398</v>
      </c>
      <c r="D833">
        <v>7645</v>
      </c>
      <c r="E833">
        <v>532</v>
      </c>
    </row>
    <row r="834" spans="1:5" x14ac:dyDescent="0.25">
      <c r="A834" t="s">
        <v>615</v>
      </c>
      <c r="B834" t="str">
        <f>VLOOKUP(Counties_by_State_Code[[#This Row],[State_Code]],Territory_by_Code[],2)</f>
        <v>Iowa</v>
      </c>
      <c r="C834" t="s">
        <v>578</v>
      </c>
      <c r="D834">
        <v>17488</v>
      </c>
      <c r="E834">
        <v>578</v>
      </c>
    </row>
    <row r="835" spans="1:5" x14ac:dyDescent="0.25">
      <c r="A835" t="s">
        <v>615</v>
      </c>
      <c r="B835" t="str">
        <f>VLOOKUP(Counties_by_State_Code[[#This Row],[State_Code]],Territory_by_Code[],2)</f>
        <v>Iowa</v>
      </c>
      <c r="C835" t="s">
        <v>627</v>
      </c>
      <c r="D835">
        <v>38910</v>
      </c>
      <c r="E835">
        <v>416</v>
      </c>
    </row>
    <row r="836" spans="1:5" x14ac:dyDescent="0.25">
      <c r="A836" t="s">
        <v>615</v>
      </c>
      <c r="B836" t="str">
        <f>VLOOKUP(Counties_by_State_Code[[#This Row],[State_Code]],Territory_by_Code[],2)</f>
        <v>Iowa</v>
      </c>
      <c r="C836" t="s">
        <v>628</v>
      </c>
      <c r="D836">
        <v>17703</v>
      </c>
      <c r="E836">
        <v>381</v>
      </c>
    </row>
    <row r="837" spans="1:5" x14ac:dyDescent="0.25">
      <c r="A837" t="s">
        <v>615</v>
      </c>
      <c r="B837" t="str">
        <f>VLOOKUP(Counties_by_State_Code[[#This Row],[State_Code]],Territory_by_Code[],2)</f>
        <v>Iowa</v>
      </c>
      <c r="C837" t="s">
        <v>629</v>
      </c>
      <c r="D837">
        <v>99266</v>
      </c>
      <c r="E837">
        <v>608</v>
      </c>
    </row>
    <row r="838" spans="1:5" x14ac:dyDescent="0.25">
      <c r="A838" t="s">
        <v>615</v>
      </c>
      <c r="B838" t="str">
        <f>VLOOKUP(Counties_by_State_Code[[#This Row],[State_Code]],Territory_by_Code[],2)</f>
        <v>Iowa</v>
      </c>
      <c r="C838" t="s">
        <v>630</v>
      </c>
      <c r="D838">
        <v>9388</v>
      </c>
      <c r="E838">
        <v>396</v>
      </c>
    </row>
    <row r="839" spans="1:5" x14ac:dyDescent="0.25">
      <c r="A839" t="s">
        <v>615</v>
      </c>
      <c r="B839" t="str">
        <f>VLOOKUP(Counties_by_State_Code[[#This Row],[State_Code]],Territory_by_Code[],2)</f>
        <v>Iowa</v>
      </c>
      <c r="C839" t="s">
        <v>29</v>
      </c>
      <c r="D839">
        <v>19509</v>
      </c>
      <c r="E839">
        <v>731</v>
      </c>
    </row>
    <row r="840" spans="1:5" x14ac:dyDescent="0.25">
      <c r="A840" t="s">
        <v>615</v>
      </c>
      <c r="B840" t="str">
        <f>VLOOKUP(Counties_by_State_Code[[#This Row],[State_Code]],Territory_by_Code[],2)</f>
        <v>Iowa</v>
      </c>
      <c r="C840" t="s">
        <v>408</v>
      </c>
      <c r="D840">
        <v>15627</v>
      </c>
      <c r="E840">
        <v>501</v>
      </c>
    </row>
    <row r="841" spans="1:5" x14ac:dyDescent="0.25">
      <c r="A841" t="s">
        <v>615</v>
      </c>
      <c r="B841" t="str">
        <f>VLOOKUP(Counties_by_State_Code[[#This Row],[State_Code]],Territory_by_Code[],2)</f>
        <v>Iowa</v>
      </c>
      <c r="C841" t="s">
        <v>30</v>
      </c>
      <c r="D841">
        <v>10019</v>
      </c>
      <c r="E841">
        <v>582</v>
      </c>
    </row>
    <row r="842" spans="1:5" x14ac:dyDescent="0.25">
      <c r="A842" t="s">
        <v>615</v>
      </c>
      <c r="B842" t="str">
        <f>VLOOKUP(Counties_by_State_Code[[#This Row],[State_Code]],Territory_by_Code[],2)</f>
        <v>Iowa</v>
      </c>
      <c r="C842" t="s">
        <v>259</v>
      </c>
      <c r="D842">
        <v>6605</v>
      </c>
      <c r="E842">
        <v>511</v>
      </c>
    </row>
    <row r="843" spans="1:5" x14ac:dyDescent="0.25">
      <c r="A843" t="s">
        <v>615</v>
      </c>
      <c r="B843" t="str">
        <f>VLOOKUP(Counties_by_State_Code[[#This Row],[State_Code]],Territory_by_Code[],2)</f>
        <v>Iowa</v>
      </c>
      <c r="C843" t="s">
        <v>32</v>
      </c>
      <c r="D843">
        <v>8771</v>
      </c>
      <c r="E843">
        <v>568</v>
      </c>
    </row>
    <row r="844" spans="1:5" x14ac:dyDescent="0.25">
      <c r="A844" t="s">
        <v>615</v>
      </c>
      <c r="B844" t="str">
        <f>VLOOKUP(Counties_by_State_Code[[#This Row],[State_Code]],Territory_by_Code[],2)</f>
        <v>Iowa</v>
      </c>
      <c r="C844" t="s">
        <v>534</v>
      </c>
      <c r="D844">
        <v>12329</v>
      </c>
      <c r="E844">
        <v>503</v>
      </c>
    </row>
    <row r="845" spans="1:5" x14ac:dyDescent="0.25">
      <c r="A845" t="s">
        <v>615</v>
      </c>
      <c r="B845" t="str">
        <f>VLOOKUP(Counties_by_State_Code[[#This Row],[State_Code]],Territory_by_Code[],2)</f>
        <v>Iowa</v>
      </c>
      <c r="C845" t="s">
        <v>631</v>
      </c>
      <c r="D845">
        <v>10623</v>
      </c>
      <c r="E845">
        <v>591</v>
      </c>
    </row>
    <row r="846" spans="1:5" x14ac:dyDescent="0.25">
      <c r="A846" t="s">
        <v>615</v>
      </c>
      <c r="B846" t="str">
        <f>VLOOKUP(Counties_by_State_Code[[#This Row],[State_Code]],Territory_by_Code[],2)</f>
        <v>Iowa</v>
      </c>
      <c r="C846" t="s">
        <v>334</v>
      </c>
      <c r="D846">
        <v>15039</v>
      </c>
      <c r="E846">
        <v>577</v>
      </c>
    </row>
    <row r="847" spans="1:5" x14ac:dyDescent="0.25">
      <c r="A847" t="s">
        <v>615</v>
      </c>
      <c r="B847" t="str">
        <f>VLOOKUP(Counties_by_State_Code[[#This Row],[State_Code]],Territory_by_Code[],2)</f>
        <v>Iowa</v>
      </c>
      <c r="C847" t="s">
        <v>418</v>
      </c>
      <c r="D847">
        <v>10795</v>
      </c>
      <c r="E847">
        <v>571</v>
      </c>
    </row>
    <row r="848" spans="1:5" x14ac:dyDescent="0.25">
      <c r="A848" t="s">
        <v>615</v>
      </c>
      <c r="B848" t="str">
        <f>VLOOKUP(Counties_by_State_Code[[#This Row],[State_Code]],Territory_by_Code[],2)</f>
        <v>Iowa</v>
      </c>
      <c r="C848" t="s">
        <v>535</v>
      </c>
      <c r="D848">
        <v>16878</v>
      </c>
      <c r="E848">
        <v>569</v>
      </c>
    </row>
    <row r="849" spans="1:5" x14ac:dyDescent="0.25">
      <c r="A849" t="s">
        <v>615</v>
      </c>
      <c r="B849" t="str">
        <f>VLOOKUP(Counties_by_State_Code[[#This Row],[State_Code]],Territory_by_Code[],2)</f>
        <v>Iowa</v>
      </c>
      <c r="C849" t="s">
        <v>583</v>
      </c>
      <c r="D849">
        <v>14582</v>
      </c>
      <c r="E849">
        <v>697</v>
      </c>
    </row>
    <row r="850" spans="1:5" x14ac:dyDescent="0.25">
      <c r="A850" t="s">
        <v>615</v>
      </c>
      <c r="B850" t="str">
        <f>VLOOKUP(Counties_by_State_Code[[#This Row],[State_Code]],Territory_by_Code[],2)</f>
        <v>Iowa</v>
      </c>
      <c r="C850" t="s">
        <v>34</v>
      </c>
      <c r="D850">
        <v>20482</v>
      </c>
      <c r="E850">
        <v>434</v>
      </c>
    </row>
    <row r="851" spans="1:5" x14ac:dyDescent="0.25">
      <c r="A851" t="s">
        <v>615</v>
      </c>
      <c r="B851" t="str">
        <f>VLOOKUP(Counties_by_State_Code[[#This Row],[State_Code]],Territory_by_Code[],2)</f>
        <v>Iowa</v>
      </c>
      <c r="C851" t="s">
        <v>146</v>
      </c>
      <c r="D851">
        <v>9469</v>
      </c>
      <c r="E851">
        <v>473</v>
      </c>
    </row>
    <row r="852" spans="1:5" x14ac:dyDescent="0.25">
      <c r="A852" t="s">
        <v>615</v>
      </c>
      <c r="B852" t="str">
        <f>VLOOKUP(Counties_by_State_Code[[#This Row],[State_Code]],Territory_by_Code[],2)</f>
        <v>Iowa</v>
      </c>
      <c r="C852" t="s">
        <v>191</v>
      </c>
      <c r="D852">
        <v>9597</v>
      </c>
      <c r="E852">
        <v>434</v>
      </c>
    </row>
    <row r="853" spans="1:5" x14ac:dyDescent="0.25">
      <c r="A853" t="s">
        <v>615</v>
      </c>
      <c r="B853" t="str">
        <f>VLOOKUP(Counties_by_State_Code[[#This Row],[State_Code]],Territory_by_Code[],2)</f>
        <v>Iowa</v>
      </c>
      <c r="C853" t="s">
        <v>632</v>
      </c>
      <c r="D853">
        <v>7005</v>
      </c>
      <c r="E853">
        <v>432</v>
      </c>
    </row>
    <row r="854" spans="1:5" x14ac:dyDescent="0.25">
      <c r="A854" t="s">
        <v>615</v>
      </c>
      <c r="B854" t="str">
        <f>VLOOKUP(Counties_by_State_Code[[#This Row],[State_Code]],Territory_by_Code[],2)</f>
        <v>Iowa</v>
      </c>
      <c r="C854" t="s">
        <v>633</v>
      </c>
      <c r="D854">
        <v>16662</v>
      </c>
      <c r="E854">
        <v>586</v>
      </c>
    </row>
    <row r="855" spans="1:5" x14ac:dyDescent="0.25">
      <c r="A855" t="s">
        <v>615</v>
      </c>
      <c r="B855" t="str">
        <f>VLOOKUP(Counties_by_State_Code[[#This Row],[State_Code]],Territory_by_Code[],2)</f>
        <v>Iowa</v>
      </c>
      <c r="C855" t="s">
        <v>36</v>
      </c>
      <c r="D855">
        <v>19485</v>
      </c>
      <c r="E855">
        <v>636</v>
      </c>
    </row>
    <row r="856" spans="1:5" x14ac:dyDescent="0.25">
      <c r="A856" t="s">
        <v>615</v>
      </c>
      <c r="B856" t="str">
        <f>VLOOKUP(Counties_by_State_Code[[#This Row],[State_Code]],Territory_by_Code[],2)</f>
        <v>Iowa</v>
      </c>
      <c r="C856" t="s">
        <v>424</v>
      </c>
      <c r="D856">
        <v>37813</v>
      </c>
      <c r="E856">
        <v>730</v>
      </c>
    </row>
    <row r="857" spans="1:5" x14ac:dyDescent="0.25">
      <c r="A857" t="s">
        <v>615</v>
      </c>
      <c r="B857" t="str">
        <f>VLOOKUP(Counties_by_State_Code[[#This Row],[State_Code]],Territory_by_Code[],2)</f>
        <v>Iowa</v>
      </c>
      <c r="C857" t="s">
        <v>37</v>
      </c>
      <c r="D857">
        <v>15663</v>
      </c>
      <c r="E857">
        <v>435</v>
      </c>
    </row>
    <row r="858" spans="1:5" x14ac:dyDescent="0.25">
      <c r="A858" t="s">
        <v>615</v>
      </c>
      <c r="B858" t="str">
        <f>VLOOKUP(Counties_by_State_Code[[#This Row],[State_Code]],Territory_by_Code[],2)</f>
        <v>Iowa</v>
      </c>
      <c r="C858" t="s">
        <v>149</v>
      </c>
      <c r="D858">
        <v>152854</v>
      </c>
      <c r="E858">
        <v>614</v>
      </c>
    </row>
    <row r="859" spans="1:5" x14ac:dyDescent="0.25">
      <c r="A859" t="s">
        <v>615</v>
      </c>
      <c r="B859" t="str">
        <f>VLOOKUP(Counties_by_State_Code[[#This Row],[State_Code]],Territory_by_Code[],2)</f>
        <v>Iowa</v>
      </c>
      <c r="C859" t="s">
        <v>427</v>
      </c>
      <c r="D859">
        <v>20646</v>
      </c>
      <c r="E859">
        <v>575</v>
      </c>
    </row>
    <row r="860" spans="1:5" x14ac:dyDescent="0.25">
      <c r="A860" t="s">
        <v>615</v>
      </c>
      <c r="B860" t="str">
        <f>VLOOKUP(Counties_by_State_Code[[#This Row],[State_Code]],Territory_by_Code[],2)</f>
        <v>Iowa</v>
      </c>
      <c r="C860" t="s">
        <v>634</v>
      </c>
      <c r="D860">
        <v>10033</v>
      </c>
      <c r="E860">
        <v>579</v>
      </c>
    </row>
    <row r="861" spans="1:5" x14ac:dyDescent="0.25">
      <c r="A861" t="s">
        <v>615</v>
      </c>
      <c r="B861" t="str">
        <f>VLOOKUP(Counties_by_State_Code[[#This Row],[State_Code]],Territory_by_Code[],2)</f>
        <v>Iowa</v>
      </c>
      <c r="C861" t="s">
        <v>635</v>
      </c>
      <c r="D861">
        <v>14828</v>
      </c>
      <c r="E861">
        <v>973</v>
      </c>
    </row>
    <row r="862" spans="1:5" x14ac:dyDescent="0.25">
      <c r="A862" t="s">
        <v>615</v>
      </c>
      <c r="B862" t="str">
        <f>VLOOKUP(Counties_by_State_Code[[#This Row],[State_Code]],Territory_by_Code[],2)</f>
        <v>Iowa</v>
      </c>
      <c r="C862" t="s">
        <v>41</v>
      </c>
      <c r="D862">
        <v>33555</v>
      </c>
      <c r="E862">
        <v>517</v>
      </c>
    </row>
    <row r="863" spans="1:5" x14ac:dyDescent="0.25">
      <c r="A863" t="s">
        <v>615</v>
      </c>
      <c r="B863" t="str">
        <f>VLOOKUP(Counties_by_State_Code[[#This Row],[State_Code]],Territory_by_Code[],2)</f>
        <v>Iowa</v>
      </c>
      <c r="C863" t="s">
        <v>636</v>
      </c>
      <c r="D863">
        <v>230299</v>
      </c>
      <c r="E863">
        <v>718</v>
      </c>
    </row>
    <row r="864" spans="1:5" x14ac:dyDescent="0.25">
      <c r="A864" t="s">
        <v>615</v>
      </c>
      <c r="B864" t="str">
        <f>VLOOKUP(Counties_by_State_Code[[#This Row],[State_Code]],Territory_by_Code[],2)</f>
        <v>Iowa</v>
      </c>
      <c r="C864" t="s">
        <v>637</v>
      </c>
      <c r="D864">
        <v>10837</v>
      </c>
      <c r="E864">
        <v>402</v>
      </c>
    </row>
    <row r="865" spans="1:5" x14ac:dyDescent="0.25">
      <c r="A865" t="s">
        <v>615</v>
      </c>
      <c r="B865" t="str">
        <f>VLOOKUP(Counties_by_State_Code[[#This Row],[State_Code]],Territory_by_Code[],2)</f>
        <v>Iowa</v>
      </c>
      <c r="C865" t="s">
        <v>638</v>
      </c>
      <c r="D865">
        <v>8634</v>
      </c>
      <c r="E865">
        <v>431</v>
      </c>
    </row>
    <row r="866" spans="1:5" x14ac:dyDescent="0.25">
      <c r="A866" t="s">
        <v>615</v>
      </c>
      <c r="B866" t="str">
        <f>VLOOKUP(Counties_by_State_Code[[#This Row],[State_Code]],Territory_by_Code[],2)</f>
        <v>Iowa</v>
      </c>
      <c r="C866" t="s">
        <v>639</v>
      </c>
      <c r="D866">
        <v>11934</v>
      </c>
      <c r="E866">
        <v>588</v>
      </c>
    </row>
    <row r="867" spans="1:5" x14ac:dyDescent="0.25">
      <c r="A867" t="s">
        <v>615</v>
      </c>
      <c r="B867" t="str">
        <f>VLOOKUP(Counties_by_State_Code[[#This Row],[State_Code]],Territory_by_Code[],2)</f>
        <v>Iowa</v>
      </c>
      <c r="C867" t="s">
        <v>45</v>
      </c>
      <c r="D867">
        <v>16548</v>
      </c>
      <c r="E867">
        <v>561</v>
      </c>
    </row>
    <row r="868" spans="1:5" x14ac:dyDescent="0.25">
      <c r="A868" t="s">
        <v>615</v>
      </c>
      <c r="B868" t="str">
        <f>VLOOKUP(Counties_by_State_Code[[#This Row],[State_Code]],Territory_by_Code[],2)</f>
        <v>Iowa</v>
      </c>
      <c r="C868" t="s">
        <v>640</v>
      </c>
      <c r="D868">
        <v>22190</v>
      </c>
      <c r="E868">
        <v>571</v>
      </c>
    </row>
    <row r="869" spans="1:5" x14ac:dyDescent="0.25">
      <c r="A869" t="s">
        <v>615</v>
      </c>
      <c r="B869" t="str">
        <f>VLOOKUP(Counties_by_State_Code[[#This Row],[State_Code]],Territory_by_Code[],2)</f>
        <v>Iowa</v>
      </c>
      <c r="C869" t="s">
        <v>47</v>
      </c>
      <c r="D869">
        <v>33414</v>
      </c>
      <c r="E869">
        <v>554</v>
      </c>
    </row>
    <row r="870" spans="1:5" x14ac:dyDescent="0.25">
      <c r="A870" t="s">
        <v>615</v>
      </c>
      <c r="B870" t="str">
        <f>VLOOKUP(Counties_by_State_Code[[#This Row],[State_Code]],Territory_by_Code[],2)</f>
        <v>Iowa</v>
      </c>
      <c r="C870" t="s">
        <v>48</v>
      </c>
      <c r="D870">
        <v>40105</v>
      </c>
      <c r="E870">
        <v>572</v>
      </c>
    </row>
    <row r="871" spans="1:5" x14ac:dyDescent="0.25">
      <c r="A871" t="s">
        <v>615</v>
      </c>
      <c r="B871" t="str">
        <f>VLOOKUP(Counties_by_State_Code[[#This Row],[State_Code]],Territory_by_Code[],2)</f>
        <v>Iowa</v>
      </c>
      <c r="C871" t="s">
        <v>641</v>
      </c>
      <c r="D871">
        <v>14484</v>
      </c>
      <c r="E871">
        <v>437</v>
      </c>
    </row>
    <row r="872" spans="1:5" x14ac:dyDescent="0.25">
      <c r="A872" t="s">
        <v>615</v>
      </c>
      <c r="B872" t="str">
        <f>VLOOKUP(Counties_by_State_Code[[#This Row],[State_Code]],Territory_by_Code[],2)</f>
        <v>Iowa</v>
      </c>
      <c r="C872" t="s">
        <v>435</v>
      </c>
      <c r="D872">
        <v>10565</v>
      </c>
      <c r="E872">
        <v>469</v>
      </c>
    </row>
    <row r="873" spans="1:5" x14ac:dyDescent="0.25">
      <c r="A873" t="s">
        <v>615</v>
      </c>
      <c r="B873" t="str">
        <f>VLOOKUP(Counties_by_State_Code[[#This Row],[State_Code]],Territory_by_Code[],2)</f>
        <v>Iowa</v>
      </c>
      <c r="C873" t="s">
        <v>642</v>
      </c>
      <c r="D873">
        <v>8751</v>
      </c>
      <c r="E873">
        <v>693</v>
      </c>
    </row>
    <row r="874" spans="1:5" x14ac:dyDescent="0.25">
      <c r="A874" t="s">
        <v>615</v>
      </c>
      <c r="B874" t="str">
        <f>VLOOKUP(Counties_by_State_Code[[#This Row],[State_Code]],Territory_by_Code[],2)</f>
        <v>Iowa</v>
      </c>
      <c r="C874" t="s">
        <v>50</v>
      </c>
      <c r="D874">
        <v>7577</v>
      </c>
      <c r="E874">
        <v>433</v>
      </c>
    </row>
    <row r="875" spans="1:5" x14ac:dyDescent="0.25">
      <c r="A875" t="s">
        <v>615</v>
      </c>
      <c r="B875" t="str">
        <f>VLOOKUP(Counties_by_State_Code[[#This Row],[State_Code]],Territory_by_Code[],2)</f>
        <v>Iowa</v>
      </c>
      <c r="C875" t="s">
        <v>51</v>
      </c>
      <c r="D875">
        <v>10330</v>
      </c>
      <c r="E875">
        <v>424</v>
      </c>
    </row>
    <row r="876" spans="1:5" x14ac:dyDescent="0.25">
      <c r="A876" t="s">
        <v>615</v>
      </c>
      <c r="B876" t="str">
        <f>VLOOKUP(Counties_by_State_Code[[#This Row],[State_Code]],Territory_by_Code[],2)</f>
        <v>Iowa</v>
      </c>
      <c r="C876" t="s">
        <v>643</v>
      </c>
      <c r="D876">
        <v>43235</v>
      </c>
      <c r="E876">
        <v>439</v>
      </c>
    </row>
    <row r="877" spans="1:5" x14ac:dyDescent="0.25">
      <c r="A877" t="s">
        <v>615</v>
      </c>
      <c r="B877" t="str">
        <f>VLOOKUP(Counties_by_State_Code[[#This Row],[State_Code]],Territory_by_Code[],2)</f>
        <v>Iowa</v>
      </c>
      <c r="C877" t="s">
        <v>644</v>
      </c>
      <c r="D877">
        <v>14182</v>
      </c>
      <c r="E877">
        <v>573</v>
      </c>
    </row>
    <row r="878" spans="1:5" x14ac:dyDescent="0.25">
      <c r="A878" t="s">
        <v>615</v>
      </c>
      <c r="B878" t="str">
        <f>VLOOKUP(Counties_by_State_Code[[#This Row],[State_Code]],Territory_by_Code[],2)</f>
        <v>Iowa</v>
      </c>
      <c r="C878" t="s">
        <v>351</v>
      </c>
      <c r="D878">
        <v>6192</v>
      </c>
      <c r="E878">
        <v>399</v>
      </c>
    </row>
    <row r="879" spans="1:5" x14ac:dyDescent="0.25">
      <c r="A879" t="s">
        <v>615</v>
      </c>
      <c r="B879" t="str">
        <f>VLOOKUP(Counties_by_State_Code[[#This Row],[State_Code]],Territory_by_Code[],2)</f>
        <v>Iowa</v>
      </c>
      <c r="C879" t="s">
        <v>645</v>
      </c>
      <c r="D879">
        <v>15211</v>
      </c>
      <c r="E879">
        <v>535</v>
      </c>
    </row>
    <row r="880" spans="1:5" x14ac:dyDescent="0.25">
      <c r="A880" t="s">
        <v>615</v>
      </c>
      <c r="B880" t="str">
        <f>VLOOKUP(Counties_by_State_Code[[#This Row],[State_Code]],Territory_by_Code[],2)</f>
        <v>Iowa</v>
      </c>
      <c r="C880" t="s">
        <v>646</v>
      </c>
      <c r="D880">
        <v>8996</v>
      </c>
      <c r="E880">
        <v>564</v>
      </c>
    </row>
    <row r="881" spans="1:5" x14ac:dyDescent="0.25">
      <c r="A881" t="s">
        <v>615</v>
      </c>
      <c r="B881" t="str">
        <f>VLOOKUP(Counties_by_State_Code[[#This Row],[State_Code]],Territory_by_Code[],2)</f>
        <v>Iowa</v>
      </c>
      <c r="C881" t="s">
        <v>647</v>
      </c>
      <c r="D881">
        <v>25698</v>
      </c>
      <c r="E881">
        <v>864</v>
      </c>
    </row>
    <row r="882" spans="1:5" x14ac:dyDescent="0.25">
      <c r="A882" t="s">
        <v>615</v>
      </c>
      <c r="B882" t="str">
        <f>VLOOKUP(Counties_by_State_Code[[#This Row],[State_Code]],Territory_by_Code[],2)</f>
        <v>Iowa</v>
      </c>
      <c r="C882" t="s">
        <v>648</v>
      </c>
      <c r="D882">
        <v>7078</v>
      </c>
      <c r="E882">
        <v>578</v>
      </c>
    </row>
    <row r="883" spans="1:5" x14ac:dyDescent="0.25">
      <c r="A883" t="s">
        <v>615</v>
      </c>
      <c r="B883" t="str">
        <f>VLOOKUP(Counties_by_State_Code[[#This Row],[State_Code]],Territory_by_Code[],2)</f>
        <v>Iowa</v>
      </c>
      <c r="C883" t="s">
        <v>162</v>
      </c>
      <c r="D883">
        <v>492401</v>
      </c>
      <c r="E883">
        <v>570</v>
      </c>
    </row>
    <row r="884" spans="1:5" x14ac:dyDescent="0.25">
      <c r="A884" t="s">
        <v>615</v>
      </c>
      <c r="B884" t="str">
        <f>VLOOKUP(Counties_by_State_Code[[#This Row],[State_Code]],Territory_by_Code[],2)</f>
        <v>Iowa</v>
      </c>
      <c r="C884" t="s">
        <v>649</v>
      </c>
      <c r="D884">
        <v>93667</v>
      </c>
      <c r="E884">
        <v>954</v>
      </c>
    </row>
    <row r="885" spans="1:5" x14ac:dyDescent="0.25">
      <c r="A885" t="s">
        <v>615</v>
      </c>
      <c r="B885" t="str">
        <f>VLOOKUP(Counties_by_State_Code[[#This Row],[State_Code]],Territory_by_Code[],2)</f>
        <v>Iowa</v>
      </c>
      <c r="C885" t="s">
        <v>650</v>
      </c>
      <c r="D885">
        <v>18662</v>
      </c>
      <c r="E885">
        <v>585</v>
      </c>
    </row>
    <row r="886" spans="1:5" x14ac:dyDescent="0.25">
      <c r="A886" t="s">
        <v>615</v>
      </c>
      <c r="B886" t="str">
        <f>VLOOKUP(Counties_by_State_Code[[#This Row],[State_Code]],Territory_by_Code[],2)</f>
        <v>Iowa</v>
      </c>
      <c r="C886" t="s">
        <v>651</v>
      </c>
      <c r="D886">
        <v>4663</v>
      </c>
      <c r="E886">
        <v>538</v>
      </c>
    </row>
    <row r="887" spans="1:5" x14ac:dyDescent="0.25">
      <c r="A887" t="s">
        <v>615</v>
      </c>
      <c r="B887" t="str">
        <f>VLOOKUP(Counties_by_State_Code[[#This Row],[State_Code]],Territory_by_Code[],2)</f>
        <v>Iowa</v>
      </c>
      <c r="C887" t="s">
        <v>652</v>
      </c>
      <c r="D887">
        <v>9814</v>
      </c>
      <c r="E887">
        <v>576</v>
      </c>
    </row>
    <row r="888" spans="1:5" x14ac:dyDescent="0.25">
      <c r="A888" t="s">
        <v>615</v>
      </c>
      <c r="B888" t="str">
        <f>VLOOKUP(Counties_by_State_Code[[#This Row],[State_Code]],Territory_by_Code[],2)</f>
        <v>Iowa</v>
      </c>
      <c r="C888" t="s">
        <v>168</v>
      </c>
      <c r="D888">
        <v>174669</v>
      </c>
      <c r="E888">
        <v>458</v>
      </c>
    </row>
    <row r="889" spans="1:5" x14ac:dyDescent="0.25">
      <c r="A889" t="s">
        <v>615</v>
      </c>
      <c r="B889" t="str">
        <f>VLOOKUP(Counties_by_State_Code[[#This Row],[State_Code]],Territory_by_Code[],2)</f>
        <v>Iowa</v>
      </c>
      <c r="C889" t="s">
        <v>58</v>
      </c>
      <c r="D889">
        <v>11746</v>
      </c>
      <c r="E889">
        <v>591</v>
      </c>
    </row>
    <row r="890" spans="1:5" x14ac:dyDescent="0.25">
      <c r="A890" t="s">
        <v>615</v>
      </c>
      <c r="B890" t="str">
        <f>VLOOKUP(Counties_by_State_Code[[#This Row],[State_Code]],Territory_by_Code[],2)</f>
        <v>Iowa</v>
      </c>
      <c r="C890" t="s">
        <v>653</v>
      </c>
      <c r="D890">
        <v>35872</v>
      </c>
      <c r="E890">
        <v>768</v>
      </c>
    </row>
    <row r="891" spans="1:5" x14ac:dyDescent="0.25">
      <c r="A891" t="s">
        <v>615</v>
      </c>
      <c r="B891" t="str">
        <f>VLOOKUP(Counties_by_State_Code[[#This Row],[State_Code]],Territory_by_Code[],2)</f>
        <v>Iowa</v>
      </c>
      <c r="C891" t="s">
        <v>654</v>
      </c>
      <c r="D891">
        <v>98537</v>
      </c>
      <c r="E891">
        <v>573</v>
      </c>
    </row>
    <row r="892" spans="1:5" x14ac:dyDescent="0.25">
      <c r="A892" t="s">
        <v>615</v>
      </c>
      <c r="B892" t="str">
        <f>VLOOKUP(Counties_by_State_Code[[#This Row],[State_Code]],Territory_by_Code[],2)</f>
        <v>Iowa</v>
      </c>
      <c r="C892" t="s">
        <v>655</v>
      </c>
      <c r="D892">
        <v>17135</v>
      </c>
      <c r="E892">
        <v>721</v>
      </c>
    </row>
    <row r="893" spans="1:5" x14ac:dyDescent="0.25">
      <c r="A893" t="s">
        <v>615</v>
      </c>
      <c r="B893" t="str">
        <f>VLOOKUP(Counties_by_State_Code[[#This Row],[State_Code]],Territory_by_Code[],2)</f>
        <v>Iowa</v>
      </c>
      <c r="C893" t="s">
        <v>362</v>
      </c>
      <c r="D893">
        <v>5896</v>
      </c>
      <c r="E893">
        <v>534</v>
      </c>
    </row>
    <row r="894" spans="1:5" x14ac:dyDescent="0.25">
      <c r="A894" t="s">
        <v>615</v>
      </c>
      <c r="B894" t="str">
        <f>VLOOKUP(Counties_by_State_Code[[#This Row],[State_Code]],Territory_by_Code[],2)</f>
        <v>Iowa</v>
      </c>
      <c r="C894" t="s">
        <v>174</v>
      </c>
      <c r="D894">
        <v>12138</v>
      </c>
      <c r="E894">
        <v>424</v>
      </c>
    </row>
    <row r="895" spans="1:5" x14ac:dyDescent="0.25">
      <c r="A895" t="s">
        <v>615</v>
      </c>
      <c r="B895" t="str">
        <f>VLOOKUP(Counties_by_State_Code[[#This Row],[State_Code]],Territory_by_Code[],2)</f>
        <v>Iowa</v>
      </c>
      <c r="C895" t="s">
        <v>175</v>
      </c>
      <c r="D895">
        <v>7203</v>
      </c>
      <c r="E895">
        <v>485</v>
      </c>
    </row>
    <row r="896" spans="1:5" x14ac:dyDescent="0.25">
      <c r="A896" t="s">
        <v>615</v>
      </c>
      <c r="B896" t="str">
        <f>VLOOKUP(Counties_by_State_Code[[#This Row],[State_Code]],Territory_by_Code[],2)</f>
        <v>Iowa</v>
      </c>
      <c r="C896" t="s">
        <v>656</v>
      </c>
      <c r="D896">
        <v>35437</v>
      </c>
      <c r="E896">
        <v>432</v>
      </c>
    </row>
    <row r="897" spans="1:5" x14ac:dyDescent="0.25">
      <c r="A897" t="s">
        <v>615</v>
      </c>
      <c r="B897" t="str">
        <f>VLOOKUP(Counties_by_State_Code[[#This Row],[State_Code]],Territory_by_Code[],2)</f>
        <v>Iowa</v>
      </c>
      <c r="C897" t="s">
        <v>467</v>
      </c>
      <c r="D897">
        <v>52403</v>
      </c>
      <c r="E897">
        <v>572</v>
      </c>
    </row>
    <row r="898" spans="1:5" x14ac:dyDescent="0.25">
      <c r="A898" t="s">
        <v>615</v>
      </c>
      <c r="B898" t="str">
        <f>VLOOKUP(Counties_by_State_Code[[#This Row],[State_Code]],Territory_by_Code[],2)</f>
        <v>Iowa</v>
      </c>
      <c r="C898" t="s">
        <v>65</v>
      </c>
      <c r="D898">
        <v>22565</v>
      </c>
      <c r="E898">
        <v>569</v>
      </c>
    </row>
    <row r="899" spans="1:5" x14ac:dyDescent="0.25">
      <c r="A899" t="s">
        <v>615</v>
      </c>
      <c r="B899" t="str">
        <f>VLOOKUP(Counties_by_State_Code[[#This Row],[State_Code]],Territory_by_Code[],2)</f>
        <v>Iowa</v>
      </c>
      <c r="C899" t="s">
        <v>468</v>
      </c>
      <c r="D899">
        <v>6497</v>
      </c>
      <c r="E899">
        <v>526</v>
      </c>
    </row>
    <row r="900" spans="1:5" x14ac:dyDescent="0.25">
      <c r="A900" t="s">
        <v>615</v>
      </c>
      <c r="B900" t="str">
        <f>VLOOKUP(Counties_by_State_Code[[#This Row],[State_Code]],Territory_by_Code[],2)</f>
        <v>Iowa</v>
      </c>
      <c r="C900" t="s">
        <v>469</v>
      </c>
      <c r="D900">
        <v>36999</v>
      </c>
      <c r="E900">
        <v>715</v>
      </c>
    </row>
    <row r="901" spans="1:5" x14ac:dyDescent="0.25">
      <c r="A901" t="s">
        <v>615</v>
      </c>
      <c r="B901" t="str">
        <f>VLOOKUP(Counties_by_State_Code[[#This Row],[State_Code]],Territory_by_Code[],2)</f>
        <v>Iowa</v>
      </c>
      <c r="C901" t="s">
        <v>570</v>
      </c>
      <c r="D901">
        <v>10679</v>
      </c>
      <c r="E901">
        <v>400</v>
      </c>
    </row>
    <row r="902" spans="1:5" x14ac:dyDescent="0.25">
      <c r="A902" t="s">
        <v>615</v>
      </c>
      <c r="B902" t="str">
        <f>VLOOKUP(Counties_by_State_Code[[#This Row],[State_Code]],Territory_by_Code[],2)</f>
        <v>Iowa</v>
      </c>
      <c r="C902" t="s">
        <v>657</v>
      </c>
      <c r="D902">
        <v>20070</v>
      </c>
      <c r="E902">
        <v>690</v>
      </c>
    </row>
    <row r="903" spans="1:5" x14ac:dyDescent="0.25">
      <c r="A903" t="s">
        <v>615</v>
      </c>
      <c r="B903" t="str">
        <f>VLOOKUP(Counties_by_State_Code[[#This Row],[State_Code]],Territory_by_Code[],2)</f>
        <v>Iowa</v>
      </c>
      <c r="C903" t="s">
        <v>658</v>
      </c>
      <c r="D903">
        <v>105941</v>
      </c>
      <c r="E903">
        <v>873</v>
      </c>
    </row>
    <row r="904" spans="1:5" x14ac:dyDescent="0.25">
      <c r="A904" t="s">
        <v>615</v>
      </c>
      <c r="B904" t="str">
        <f>VLOOKUP(Counties_by_State_Code[[#This Row],[State_Code]],Territory_by_Code[],2)</f>
        <v>Iowa</v>
      </c>
      <c r="C904" t="s">
        <v>474</v>
      </c>
      <c r="D904">
        <v>7443</v>
      </c>
      <c r="E904">
        <v>400</v>
      </c>
    </row>
    <row r="905" spans="1:5" x14ac:dyDescent="0.25">
      <c r="A905" t="s">
        <v>615</v>
      </c>
      <c r="B905" t="str">
        <f>VLOOKUP(Counties_by_State_Code[[#This Row],[State_Code]],Territory_by_Code[],2)</f>
        <v>Iowa</v>
      </c>
      <c r="C905" t="s">
        <v>659</v>
      </c>
      <c r="D905">
        <v>12943</v>
      </c>
      <c r="E905">
        <v>581</v>
      </c>
    </row>
    <row r="906" spans="1:5" x14ac:dyDescent="0.25">
      <c r="A906" t="s">
        <v>660</v>
      </c>
      <c r="B906" t="str">
        <f>VLOOKUP(Counties_by_State_Code[[#This Row],[State_Code]],Territory_by_Code[],2)</f>
        <v>Kansas</v>
      </c>
      <c r="C906" t="s">
        <v>573</v>
      </c>
      <c r="D906">
        <v>12526</v>
      </c>
      <c r="E906">
        <v>503</v>
      </c>
    </row>
    <row r="907" spans="1:5" x14ac:dyDescent="0.25">
      <c r="A907" t="s">
        <v>660</v>
      </c>
      <c r="B907" t="str">
        <f>VLOOKUP(Counties_by_State_Code[[#This Row],[State_Code]],Territory_by_Code[],2)</f>
        <v>Kansas</v>
      </c>
      <c r="C907" t="s">
        <v>661</v>
      </c>
      <c r="D907">
        <v>7836</v>
      </c>
      <c r="E907">
        <v>583</v>
      </c>
    </row>
    <row r="908" spans="1:5" x14ac:dyDescent="0.25">
      <c r="A908" t="s">
        <v>660</v>
      </c>
      <c r="B908" t="str">
        <f>VLOOKUP(Counties_by_State_Code[[#This Row],[State_Code]],Territory_by_Code[],2)</f>
        <v>Kansas</v>
      </c>
      <c r="C908" t="s">
        <v>662</v>
      </c>
      <c r="D908">
        <v>16348</v>
      </c>
      <c r="E908">
        <v>432</v>
      </c>
    </row>
    <row r="909" spans="1:5" x14ac:dyDescent="0.25">
      <c r="A909" t="s">
        <v>660</v>
      </c>
      <c r="B909" t="str">
        <f>VLOOKUP(Counties_by_State_Code[[#This Row],[State_Code]],Territory_by_Code[],2)</f>
        <v>Kansas</v>
      </c>
      <c r="C909" t="s">
        <v>663</v>
      </c>
      <c r="D909">
        <v>4228</v>
      </c>
      <c r="E909">
        <v>1134</v>
      </c>
    </row>
    <row r="910" spans="1:5" x14ac:dyDescent="0.25">
      <c r="A910" t="s">
        <v>660</v>
      </c>
      <c r="B910" t="str">
        <f>VLOOKUP(Counties_by_State_Code[[#This Row],[State_Code]],Territory_by_Code[],2)</f>
        <v>Kansas</v>
      </c>
      <c r="C910" t="s">
        <v>664</v>
      </c>
      <c r="D910">
        <v>25493</v>
      </c>
      <c r="E910">
        <v>894</v>
      </c>
    </row>
    <row r="911" spans="1:5" x14ac:dyDescent="0.25">
      <c r="A911" t="s">
        <v>660</v>
      </c>
      <c r="B911" t="str">
        <f>VLOOKUP(Counties_by_State_Code[[#This Row],[State_Code]],Territory_by_Code[],2)</f>
        <v>Kansas</v>
      </c>
      <c r="C911" t="s">
        <v>665</v>
      </c>
      <c r="D911">
        <v>14360</v>
      </c>
      <c r="E911">
        <v>637</v>
      </c>
    </row>
    <row r="912" spans="1:5" x14ac:dyDescent="0.25">
      <c r="A912" t="s">
        <v>660</v>
      </c>
      <c r="B912" t="str">
        <f>VLOOKUP(Counties_by_State_Code[[#This Row],[State_Code]],Territory_by_Code[],2)</f>
        <v>Kansas</v>
      </c>
      <c r="C912" t="s">
        <v>520</v>
      </c>
      <c r="D912">
        <v>9508</v>
      </c>
      <c r="E912">
        <v>571</v>
      </c>
    </row>
    <row r="913" spans="1:5" x14ac:dyDescent="0.25">
      <c r="A913" t="s">
        <v>660</v>
      </c>
      <c r="B913" t="str">
        <f>VLOOKUP(Counties_by_State_Code[[#This Row],[State_Code]],Territory_by_Code[],2)</f>
        <v>Kansas</v>
      </c>
      <c r="C913" t="s">
        <v>7</v>
      </c>
      <c r="D913">
        <v>67380</v>
      </c>
      <c r="E913">
        <v>1428</v>
      </c>
    </row>
    <row r="914" spans="1:5" x14ac:dyDescent="0.25">
      <c r="A914" t="s">
        <v>660</v>
      </c>
      <c r="B914" t="str">
        <f>VLOOKUP(Counties_by_State_Code[[#This Row],[State_Code]],Territory_by_Code[],2)</f>
        <v>Kansas</v>
      </c>
      <c r="C914" t="s">
        <v>666</v>
      </c>
      <c r="D914">
        <v>2572</v>
      </c>
      <c r="E914">
        <v>776</v>
      </c>
    </row>
    <row r="915" spans="1:5" x14ac:dyDescent="0.25">
      <c r="A915" t="s">
        <v>660</v>
      </c>
      <c r="B915" t="str">
        <f>VLOOKUP(Counties_by_State_Code[[#This Row],[State_Code]],Territory_by_Code[],2)</f>
        <v>Kansas</v>
      </c>
      <c r="C915" t="s">
        <v>667</v>
      </c>
      <c r="D915">
        <v>3379</v>
      </c>
      <c r="E915">
        <v>642</v>
      </c>
    </row>
    <row r="916" spans="1:5" x14ac:dyDescent="0.25">
      <c r="A916" t="s">
        <v>660</v>
      </c>
      <c r="B916" t="str">
        <f>VLOOKUP(Counties_by_State_Code[[#This Row],[State_Code]],Territory_by_Code[],2)</f>
        <v>Kansas</v>
      </c>
      <c r="C916" t="s">
        <v>10</v>
      </c>
      <c r="D916">
        <v>19362</v>
      </c>
      <c r="E916">
        <v>587</v>
      </c>
    </row>
    <row r="917" spans="1:5" x14ac:dyDescent="0.25">
      <c r="A917" t="s">
        <v>660</v>
      </c>
      <c r="B917" t="str">
        <f>VLOOKUP(Counties_by_State_Code[[#This Row],[State_Code]],Territory_by_Code[],2)</f>
        <v>Kansas</v>
      </c>
      <c r="C917" t="s">
        <v>246</v>
      </c>
      <c r="D917">
        <v>2616</v>
      </c>
      <c r="E917">
        <v>1020</v>
      </c>
    </row>
    <row r="918" spans="1:5" x14ac:dyDescent="0.25">
      <c r="A918" t="s">
        <v>660</v>
      </c>
      <c r="B918" t="str">
        <f>VLOOKUP(Counties_by_State_Code[[#This Row],[State_Code]],Territory_by_Code[],2)</f>
        <v>Kansas</v>
      </c>
      <c r="C918" t="s">
        <v>130</v>
      </c>
      <c r="D918">
        <v>1991</v>
      </c>
      <c r="E918">
        <v>975</v>
      </c>
    </row>
    <row r="919" spans="1:5" x14ac:dyDescent="0.25">
      <c r="A919" t="s">
        <v>660</v>
      </c>
      <c r="B919" t="str">
        <f>VLOOKUP(Counties_by_State_Code[[#This Row],[State_Code]],Territory_by_Code[],2)</f>
        <v>Kansas</v>
      </c>
      <c r="C919" t="s">
        <v>14</v>
      </c>
      <c r="D919">
        <v>8117</v>
      </c>
      <c r="E919">
        <v>644</v>
      </c>
    </row>
    <row r="920" spans="1:5" x14ac:dyDescent="0.25">
      <c r="A920" t="s">
        <v>660</v>
      </c>
      <c r="B920" t="str">
        <f>VLOOKUP(Counties_by_State_Code[[#This Row],[State_Code]],Territory_by_Code[],2)</f>
        <v>Kansas</v>
      </c>
      <c r="C920" t="s">
        <v>668</v>
      </c>
      <c r="D920">
        <v>9032</v>
      </c>
      <c r="E920">
        <v>716</v>
      </c>
    </row>
    <row r="921" spans="1:5" x14ac:dyDescent="0.25">
      <c r="A921" t="s">
        <v>660</v>
      </c>
      <c r="B921" t="str">
        <f>VLOOKUP(Counties_by_State_Code[[#This Row],[State_Code]],Territory_by_Code[],2)</f>
        <v>Kansas</v>
      </c>
      <c r="C921" t="s">
        <v>669</v>
      </c>
      <c r="D921">
        <v>8360</v>
      </c>
      <c r="E921">
        <v>630</v>
      </c>
    </row>
    <row r="922" spans="1:5" x14ac:dyDescent="0.25">
      <c r="A922" t="s">
        <v>660</v>
      </c>
      <c r="B922" t="str">
        <f>VLOOKUP(Counties_by_State_Code[[#This Row],[State_Code]],Territory_by_Code[],2)</f>
        <v>Kansas</v>
      </c>
      <c r="C922" t="s">
        <v>670</v>
      </c>
      <c r="D922">
        <v>1689</v>
      </c>
      <c r="E922">
        <v>788</v>
      </c>
    </row>
    <row r="923" spans="1:5" x14ac:dyDescent="0.25">
      <c r="A923" t="s">
        <v>660</v>
      </c>
      <c r="B923" t="str">
        <f>VLOOKUP(Counties_by_State_Code[[#This Row],[State_Code]],Territory_by_Code[],2)</f>
        <v>Kansas</v>
      </c>
      <c r="C923" t="s">
        <v>671</v>
      </c>
      <c r="D923">
        <v>34549</v>
      </c>
      <c r="E923">
        <v>1126</v>
      </c>
    </row>
    <row r="924" spans="1:5" x14ac:dyDescent="0.25">
      <c r="A924" t="s">
        <v>660</v>
      </c>
      <c r="B924" t="str">
        <f>VLOOKUP(Counties_by_State_Code[[#This Row],[State_Code]],Territory_by_Code[],2)</f>
        <v>Kansas</v>
      </c>
      <c r="C924" t="s">
        <v>135</v>
      </c>
      <c r="D924">
        <v>38972</v>
      </c>
      <c r="E924">
        <v>593</v>
      </c>
    </row>
    <row r="925" spans="1:5" x14ac:dyDescent="0.25">
      <c r="A925" t="s">
        <v>660</v>
      </c>
      <c r="B925" t="str">
        <f>VLOOKUP(Counties_by_State_Code[[#This Row],[State_Code]],Territory_by_Code[],2)</f>
        <v>Kansas</v>
      </c>
      <c r="C925" t="s">
        <v>398</v>
      </c>
      <c r="D925">
        <v>2764</v>
      </c>
      <c r="E925">
        <v>894</v>
      </c>
    </row>
    <row r="926" spans="1:5" x14ac:dyDescent="0.25">
      <c r="A926" t="s">
        <v>660</v>
      </c>
      <c r="B926" t="str">
        <f>VLOOKUP(Counties_by_State_Code[[#This Row],[State_Code]],Territory_by_Code[],2)</f>
        <v>Kansas</v>
      </c>
      <c r="C926" t="s">
        <v>628</v>
      </c>
      <c r="D926">
        <v>18402</v>
      </c>
      <c r="E926">
        <v>848</v>
      </c>
    </row>
    <row r="927" spans="1:5" x14ac:dyDescent="0.25">
      <c r="A927" t="s">
        <v>660</v>
      </c>
      <c r="B927" t="str">
        <f>VLOOKUP(Counties_by_State_Code[[#This Row],[State_Code]],Territory_by_Code[],2)</f>
        <v>Kansas</v>
      </c>
      <c r="C927" t="s">
        <v>672</v>
      </c>
      <c r="D927">
        <v>7510</v>
      </c>
      <c r="E927">
        <v>392</v>
      </c>
    </row>
    <row r="928" spans="1:5" x14ac:dyDescent="0.25">
      <c r="A928" t="s">
        <v>660</v>
      </c>
      <c r="B928" t="str">
        <f>VLOOKUP(Counties_by_State_Code[[#This Row],[State_Code]],Territory_by_Code[],2)</f>
        <v>Kansas</v>
      </c>
      <c r="C928" t="s">
        <v>255</v>
      </c>
      <c r="D928">
        <v>118785</v>
      </c>
      <c r="E928">
        <v>457</v>
      </c>
    </row>
    <row r="929" spans="1:5" x14ac:dyDescent="0.25">
      <c r="A929" t="s">
        <v>660</v>
      </c>
      <c r="B929" t="str">
        <f>VLOOKUP(Counties_by_State_Code[[#This Row],[State_Code]],Territory_by_Code[],2)</f>
        <v>Kansas</v>
      </c>
      <c r="C929" t="s">
        <v>531</v>
      </c>
      <c r="D929">
        <v>2907</v>
      </c>
      <c r="E929">
        <v>622</v>
      </c>
    </row>
    <row r="930" spans="1:5" x14ac:dyDescent="0.25">
      <c r="A930" t="s">
        <v>660</v>
      </c>
      <c r="B930" t="str">
        <f>VLOOKUP(Counties_by_State_Code[[#This Row],[State_Code]],Territory_by_Code[],2)</f>
        <v>Kansas</v>
      </c>
      <c r="C930" t="s">
        <v>673</v>
      </c>
      <c r="D930">
        <v>2483</v>
      </c>
      <c r="E930">
        <v>648</v>
      </c>
    </row>
    <row r="931" spans="1:5" x14ac:dyDescent="0.25">
      <c r="A931" t="s">
        <v>660</v>
      </c>
      <c r="B931" t="str">
        <f>VLOOKUP(Counties_by_State_Code[[#This Row],[State_Code]],Territory_by_Code[],2)</f>
        <v>Kansas</v>
      </c>
      <c r="C931" t="s">
        <v>674</v>
      </c>
      <c r="D931">
        <v>28934</v>
      </c>
      <c r="E931">
        <v>900</v>
      </c>
    </row>
    <row r="932" spans="1:5" x14ac:dyDescent="0.25">
      <c r="A932" t="s">
        <v>660</v>
      </c>
      <c r="B932" t="str">
        <f>VLOOKUP(Counties_by_State_Code[[#This Row],[State_Code]],Territory_by_Code[],2)</f>
        <v>Kansas</v>
      </c>
      <c r="C932" t="s">
        <v>675</v>
      </c>
      <c r="D932">
        <v>6376</v>
      </c>
      <c r="E932">
        <v>716</v>
      </c>
    </row>
    <row r="933" spans="1:5" x14ac:dyDescent="0.25">
      <c r="A933" t="s">
        <v>660</v>
      </c>
      <c r="B933" t="str">
        <f>VLOOKUP(Counties_by_State_Code[[#This Row],[State_Code]],Territory_by_Code[],2)</f>
        <v>Kansas</v>
      </c>
      <c r="C933" t="s">
        <v>676</v>
      </c>
      <c r="D933">
        <v>38470</v>
      </c>
      <c r="E933">
        <v>1300</v>
      </c>
    </row>
    <row r="934" spans="1:5" x14ac:dyDescent="0.25">
      <c r="A934" t="s">
        <v>660</v>
      </c>
      <c r="B934" t="str">
        <f>VLOOKUP(Counties_by_State_Code[[#This Row],[State_Code]],Territory_by_Code[],2)</f>
        <v>Kansas</v>
      </c>
      <c r="C934" t="s">
        <v>532</v>
      </c>
      <c r="D934">
        <v>34287</v>
      </c>
      <c r="E934">
        <v>1099</v>
      </c>
    </row>
    <row r="935" spans="1:5" x14ac:dyDescent="0.25">
      <c r="A935" t="s">
        <v>660</v>
      </c>
      <c r="B935" t="str">
        <f>VLOOKUP(Counties_by_State_Code[[#This Row],[State_Code]],Territory_by_Code[],2)</f>
        <v>Kansas</v>
      </c>
      <c r="C935" t="s">
        <v>30</v>
      </c>
      <c r="D935">
        <v>25996</v>
      </c>
      <c r="E935">
        <v>574</v>
      </c>
    </row>
    <row r="936" spans="1:5" x14ac:dyDescent="0.25">
      <c r="A936" t="s">
        <v>660</v>
      </c>
      <c r="B936" t="str">
        <f>VLOOKUP(Counties_by_State_Code[[#This Row],[State_Code]],Territory_by_Code[],2)</f>
        <v>Kansas</v>
      </c>
      <c r="C936" t="s">
        <v>677</v>
      </c>
      <c r="D936">
        <v>36739</v>
      </c>
      <c r="E936">
        <v>384</v>
      </c>
    </row>
    <row r="937" spans="1:5" x14ac:dyDescent="0.25">
      <c r="A937" t="s">
        <v>660</v>
      </c>
      <c r="B937" t="str">
        <f>VLOOKUP(Counties_by_State_Code[[#This Row],[State_Code]],Territory_by_Code[],2)</f>
        <v>Kansas</v>
      </c>
      <c r="C937" t="s">
        <v>678</v>
      </c>
      <c r="D937">
        <v>2718</v>
      </c>
      <c r="E937">
        <v>1072</v>
      </c>
    </row>
    <row r="938" spans="1:5" x14ac:dyDescent="0.25">
      <c r="A938" t="s">
        <v>660</v>
      </c>
      <c r="B938" t="str">
        <f>VLOOKUP(Counties_by_State_Code[[#This Row],[State_Code]],Territory_by_Code[],2)</f>
        <v>Kansas</v>
      </c>
      <c r="C938" t="s">
        <v>110</v>
      </c>
      <c r="D938">
        <v>2415</v>
      </c>
      <c r="E938">
        <v>898</v>
      </c>
    </row>
    <row r="939" spans="1:5" x14ac:dyDescent="0.25">
      <c r="A939" t="s">
        <v>660</v>
      </c>
      <c r="B939" t="str">
        <f>VLOOKUP(Counties_by_State_Code[[#This Row],[State_Code]],Territory_by_Code[],2)</f>
        <v>Kansas</v>
      </c>
      <c r="C939" t="s">
        <v>143</v>
      </c>
      <c r="D939">
        <v>7352</v>
      </c>
      <c r="E939">
        <v>575</v>
      </c>
    </row>
    <row r="940" spans="1:5" x14ac:dyDescent="0.25">
      <c r="A940" t="s">
        <v>660</v>
      </c>
      <c r="B940" t="str">
        <f>VLOOKUP(Counties_by_State_Code[[#This Row],[State_Code]],Territory_by_Code[],2)</f>
        <v>Kansas</v>
      </c>
      <c r="C940" t="s">
        <v>679</v>
      </c>
      <c r="D940">
        <v>5653</v>
      </c>
      <c r="E940">
        <v>869</v>
      </c>
    </row>
    <row r="941" spans="1:5" x14ac:dyDescent="0.25">
      <c r="A941" t="s">
        <v>660</v>
      </c>
      <c r="B941" t="str">
        <f>VLOOKUP(Counties_by_State_Code[[#This Row],[State_Code]],Territory_by_Code[],2)</f>
        <v>Kansas</v>
      </c>
      <c r="C941" t="s">
        <v>680</v>
      </c>
      <c r="D941">
        <v>1284</v>
      </c>
      <c r="E941">
        <v>778</v>
      </c>
    </row>
    <row r="942" spans="1:5" x14ac:dyDescent="0.25">
      <c r="A942" t="s">
        <v>660</v>
      </c>
      <c r="B942" t="str">
        <f>VLOOKUP(Counties_by_State_Code[[#This Row],[State_Code]],Territory_by_Code[],2)</f>
        <v>Kansas</v>
      </c>
      <c r="C942" t="s">
        <v>681</v>
      </c>
      <c r="D942">
        <v>6016</v>
      </c>
      <c r="E942">
        <v>1140</v>
      </c>
    </row>
    <row r="943" spans="1:5" x14ac:dyDescent="0.25">
      <c r="A943" t="s">
        <v>660</v>
      </c>
      <c r="B943" t="str">
        <f>VLOOKUP(Counties_by_State_Code[[#This Row],[State_Code]],Territory_by_Code[],2)</f>
        <v>Kansas</v>
      </c>
      <c r="C943" t="s">
        <v>334</v>
      </c>
      <c r="D943">
        <v>2518</v>
      </c>
      <c r="E943">
        <v>996</v>
      </c>
    </row>
    <row r="944" spans="1:5" x14ac:dyDescent="0.25">
      <c r="A944" t="s">
        <v>660</v>
      </c>
      <c r="B944" t="str">
        <f>VLOOKUP(Counties_by_State_Code[[#This Row],[State_Code]],Territory_by_Code[],2)</f>
        <v>Kansas</v>
      </c>
      <c r="C944" t="s">
        <v>682</v>
      </c>
      <c r="D944">
        <v>5485</v>
      </c>
      <c r="E944">
        <v>802</v>
      </c>
    </row>
    <row r="945" spans="1:5" x14ac:dyDescent="0.25">
      <c r="A945" t="s">
        <v>660</v>
      </c>
      <c r="B945" t="str">
        <f>VLOOKUP(Counties_by_State_Code[[#This Row],[State_Code]],Territory_by_Code[],2)</f>
        <v>Kansas</v>
      </c>
      <c r="C945" t="s">
        <v>683</v>
      </c>
      <c r="D945">
        <v>34024</v>
      </c>
      <c r="E945">
        <v>539</v>
      </c>
    </row>
    <row r="946" spans="1:5" x14ac:dyDescent="0.25">
      <c r="A946" t="s">
        <v>660</v>
      </c>
      <c r="B946" t="str">
        <f>VLOOKUP(Counties_by_State_Code[[#This Row],[State_Code]],Territory_by_Code[],2)</f>
        <v>Kansas</v>
      </c>
      <c r="C946" t="s">
        <v>684</v>
      </c>
      <c r="D946">
        <v>3780</v>
      </c>
      <c r="E946">
        <v>577</v>
      </c>
    </row>
    <row r="947" spans="1:5" x14ac:dyDescent="0.25">
      <c r="A947" t="s">
        <v>660</v>
      </c>
      <c r="B947" t="str">
        <f>VLOOKUP(Counties_by_State_Code[[#This Row],[State_Code]],Territory_by_Code[],2)</f>
        <v>Kansas</v>
      </c>
      <c r="C947" t="s">
        <v>685</v>
      </c>
      <c r="D947">
        <v>1723</v>
      </c>
      <c r="E947">
        <v>860</v>
      </c>
    </row>
    <row r="948" spans="1:5" x14ac:dyDescent="0.25">
      <c r="A948" t="s">
        <v>660</v>
      </c>
      <c r="B948" t="str">
        <f>VLOOKUP(Counties_by_State_Code[[#This Row],[State_Code]],Territory_by_Code[],2)</f>
        <v>Kansas</v>
      </c>
      <c r="C948" t="s">
        <v>36</v>
      </c>
      <c r="D948">
        <v>13232</v>
      </c>
      <c r="E948">
        <v>657</v>
      </c>
    </row>
    <row r="949" spans="1:5" x14ac:dyDescent="0.25">
      <c r="A949" t="s">
        <v>660</v>
      </c>
      <c r="B949" t="str">
        <f>VLOOKUP(Counties_by_State_Code[[#This Row],[State_Code]],Territory_by_Code[],2)</f>
        <v>Kansas</v>
      </c>
      <c r="C949" t="s">
        <v>37</v>
      </c>
      <c r="D949">
        <v>18368</v>
      </c>
      <c r="E949">
        <v>536</v>
      </c>
    </row>
    <row r="950" spans="1:5" x14ac:dyDescent="0.25">
      <c r="A950" t="s">
        <v>660</v>
      </c>
      <c r="B950" t="str">
        <f>VLOOKUP(Counties_by_State_Code[[#This Row],[State_Code]],Territory_by_Code[],2)</f>
        <v>Kansas</v>
      </c>
      <c r="C950" t="s">
        <v>686</v>
      </c>
      <c r="D950">
        <v>2932</v>
      </c>
      <c r="E950">
        <v>909</v>
      </c>
    </row>
    <row r="951" spans="1:5" x14ac:dyDescent="0.25">
      <c r="A951" t="s">
        <v>660</v>
      </c>
      <c r="B951" t="str">
        <f>VLOOKUP(Counties_by_State_Code[[#This Row],[State_Code]],Territory_by_Code[],2)</f>
        <v>Kansas</v>
      </c>
      <c r="C951" t="s">
        <v>149</v>
      </c>
      <c r="D951">
        <v>609863</v>
      </c>
      <c r="E951">
        <v>477</v>
      </c>
    </row>
    <row r="952" spans="1:5" x14ac:dyDescent="0.25">
      <c r="A952" t="s">
        <v>660</v>
      </c>
      <c r="B952" t="str">
        <f>VLOOKUP(Counties_by_State_Code[[#This Row],[State_Code]],Territory_by_Code[],2)</f>
        <v>Kansas</v>
      </c>
      <c r="C952" t="s">
        <v>687</v>
      </c>
      <c r="D952">
        <v>3983</v>
      </c>
      <c r="E952">
        <v>870</v>
      </c>
    </row>
    <row r="953" spans="1:5" x14ac:dyDescent="0.25">
      <c r="A953" t="s">
        <v>660</v>
      </c>
      <c r="B953" t="str">
        <f>VLOOKUP(Counties_by_State_Code[[#This Row],[State_Code]],Territory_by_Code[],2)</f>
        <v>Kansas</v>
      </c>
      <c r="C953" t="s">
        <v>688</v>
      </c>
      <c r="D953">
        <v>7470</v>
      </c>
      <c r="E953">
        <v>864</v>
      </c>
    </row>
    <row r="954" spans="1:5" x14ac:dyDescent="0.25">
      <c r="A954" t="s">
        <v>660</v>
      </c>
      <c r="B954" t="str">
        <f>VLOOKUP(Counties_by_State_Code[[#This Row],[State_Code]],Territory_by_Code[],2)</f>
        <v>Kansas</v>
      </c>
      <c r="C954" t="s">
        <v>266</v>
      </c>
      <c r="D954">
        <v>2460</v>
      </c>
      <c r="E954">
        <v>722</v>
      </c>
    </row>
    <row r="955" spans="1:5" x14ac:dyDescent="0.25">
      <c r="A955" t="s">
        <v>660</v>
      </c>
      <c r="B955" t="str">
        <f>VLOOKUP(Counties_by_State_Code[[#This Row],[State_Code]],Territory_by_Code[],2)</f>
        <v>Kansas</v>
      </c>
      <c r="C955" t="s">
        <v>689</v>
      </c>
      <c r="D955">
        <v>20184</v>
      </c>
      <c r="E955">
        <v>649</v>
      </c>
    </row>
    <row r="956" spans="1:5" x14ac:dyDescent="0.25">
      <c r="A956" t="s">
        <v>660</v>
      </c>
      <c r="B956" t="str">
        <f>VLOOKUP(Counties_by_State_Code[[#This Row],[State_Code]],Territory_by_Code[],2)</f>
        <v>Kansas</v>
      </c>
      <c r="C956" t="s">
        <v>690</v>
      </c>
      <c r="D956">
        <v>1574</v>
      </c>
      <c r="E956">
        <v>717</v>
      </c>
    </row>
    <row r="957" spans="1:5" x14ac:dyDescent="0.25">
      <c r="A957" t="s">
        <v>660</v>
      </c>
      <c r="B957" t="str">
        <f>VLOOKUP(Counties_by_State_Code[[#This Row],[State_Code]],Territory_by_Code[],2)</f>
        <v>Kansas</v>
      </c>
      <c r="C957" t="s">
        <v>691</v>
      </c>
      <c r="D957">
        <v>81881</v>
      </c>
      <c r="E957">
        <v>463</v>
      </c>
    </row>
    <row r="958" spans="1:5" x14ac:dyDescent="0.25">
      <c r="A958" t="s">
        <v>660</v>
      </c>
      <c r="B958" t="str">
        <f>VLOOKUP(Counties_by_State_Code[[#This Row],[State_Code]],Territory_by_Code[],2)</f>
        <v>Kansas</v>
      </c>
      <c r="C958" t="s">
        <v>151</v>
      </c>
      <c r="D958">
        <v>2939</v>
      </c>
      <c r="E958">
        <v>719</v>
      </c>
    </row>
    <row r="959" spans="1:5" x14ac:dyDescent="0.25">
      <c r="A959" t="s">
        <v>660</v>
      </c>
      <c r="B959" t="str">
        <f>VLOOKUP(Counties_by_State_Code[[#This Row],[State_Code]],Territory_by_Code[],2)</f>
        <v>Kansas</v>
      </c>
      <c r="C959" t="s">
        <v>636</v>
      </c>
      <c r="D959">
        <v>9591</v>
      </c>
      <c r="E959">
        <v>599</v>
      </c>
    </row>
    <row r="960" spans="1:5" x14ac:dyDescent="0.25">
      <c r="A960" t="s">
        <v>660</v>
      </c>
      <c r="B960" t="str">
        <f>VLOOKUP(Counties_by_State_Code[[#This Row],[State_Code]],Territory_by_Code[],2)</f>
        <v>Kansas</v>
      </c>
      <c r="C960" t="s">
        <v>153</v>
      </c>
      <c r="D960">
        <v>2762</v>
      </c>
      <c r="E960">
        <v>1073</v>
      </c>
    </row>
    <row r="961" spans="1:5" x14ac:dyDescent="0.25">
      <c r="A961" t="s">
        <v>660</v>
      </c>
      <c r="B961" t="str">
        <f>VLOOKUP(Counties_by_State_Code[[#This Row],[State_Code]],Territory_by_Code[],2)</f>
        <v>Kansas</v>
      </c>
      <c r="C961" t="s">
        <v>639</v>
      </c>
      <c r="D961">
        <v>32179</v>
      </c>
      <c r="E961">
        <v>851</v>
      </c>
    </row>
    <row r="962" spans="1:5" x14ac:dyDescent="0.25">
      <c r="A962" t="s">
        <v>660</v>
      </c>
      <c r="B962" t="str">
        <f>VLOOKUP(Counties_by_State_Code[[#This Row],[State_Code]],Territory_by_Code[],2)</f>
        <v>Kansas</v>
      </c>
      <c r="C962" t="s">
        <v>47</v>
      </c>
      <c r="D962">
        <v>11823</v>
      </c>
      <c r="E962">
        <v>903</v>
      </c>
    </row>
    <row r="963" spans="1:5" x14ac:dyDescent="0.25">
      <c r="A963" t="s">
        <v>660</v>
      </c>
      <c r="B963" t="str">
        <f>VLOOKUP(Counties_by_State_Code[[#This Row],[State_Code]],Territory_by_Code[],2)</f>
        <v>Kansas</v>
      </c>
      <c r="C963" t="s">
        <v>48</v>
      </c>
      <c r="D963">
        <v>10038</v>
      </c>
      <c r="E963">
        <v>900</v>
      </c>
    </row>
    <row r="964" spans="1:5" x14ac:dyDescent="0.25">
      <c r="A964" t="s">
        <v>660</v>
      </c>
      <c r="B964" t="str">
        <f>VLOOKUP(Counties_by_State_Code[[#This Row],[State_Code]],Territory_by_Code[],2)</f>
        <v>Kansas</v>
      </c>
      <c r="C964" t="s">
        <v>692</v>
      </c>
      <c r="D964">
        <v>30223</v>
      </c>
      <c r="E964">
        <v>943</v>
      </c>
    </row>
    <row r="965" spans="1:5" x14ac:dyDescent="0.25">
      <c r="A965" t="s">
        <v>660</v>
      </c>
      <c r="B965" t="str">
        <f>VLOOKUP(Counties_by_State_Code[[#This Row],[State_Code]],Territory_by_Code[],2)</f>
        <v>Kansas</v>
      </c>
      <c r="C965" t="s">
        <v>693</v>
      </c>
      <c r="D965">
        <v>4055</v>
      </c>
      <c r="E965">
        <v>978</v>
      </c>
    </row>
    <row r="966" spans="1:5" x14ac:dyDescent="0.25">
      <c r="A966" t="s">
        <v>660</v>
      </c>
      <c r="B966" t="str">
        <f>VLOOKUP(Counties_by_State_Code[[#This Row],[State_Code]],Territory_by_Code[],2)</f>
        <v>Kansas</v>
      </c>
      <c r="C966" t="s">
        <v>591</v>
      </c>
      <c r="D966">
        <v>34191</v>
      </c>
      <c r="E966">
        <v>577</v>
      </c>
    </row>
    <row r="967" spans="1:5" x14ac:dyDescent="0.25">
      <c r="A967" t="s">
        <v>660</v>
      </c>
      <c r="B967" t="str">
        <f>VLOOKUP(Counties_by_State_Code[[#This Row],[State_Code]],Territory_by_Code[],2)</f>
        <v>Kansas</v>
      </c>
      <c r="C967" t="s">
        <v>435</v>
      </c>
      <c r="D967">
        <v>5796</v>
      </c>
      <c r="E967">
        <v>700</v>
      </c>
    </row>
    <row r="968" spans="1:5" x14ac:dyDescent="0.25">
      <c r="A968" t="s">
        <v>660</v>
      </c>
      <c r="B968" t="str">
        <f>VLOOKUP(Counties_by_State_Code[[#This Row],[State_Code]],Territory_by_Code[],2)</f>
        <v>Kansas</v>
      </c>
      <c r="C968" t="s">
        <v>51</v>
      </c>
      <c r="D968">
        <v>31486</v>
      </c>
      <c r="E968">
        <v>645</v>
      </c>
    </row>
    <row r="969" spans="1:5" x14ac:dyDescent="0.25">
      <c r="A969" t="s">
        <v>660</v>
      </c>
      <c r="B969" t="str">
        <f>VLOOKUP(Counties_by_State_Code[[#This Row],[State_Code]],Territory_by_Code[],2)</f>
        <v>Kansas</v>
      </c>
      <c r="C969" t="s">
        <v>694</v>
      </c>
      <c r="D969">
        <v>5386</v>
      </c>
      <c r="E969">
        <v>697</v>
      </c>
    </row>
    <row r="970" spans="1:5" x14ac:dyDescent="0.25">
      <c r="A970" t="s">
        <v>660</v>
      </c>
      <c r="B970" t="str">
        <f>VLOOKUP(Counties_by_State_Code[[#This Row],[State_Code]],Territory_by_Code[],2)</f>
        <v>Kansas</v>
      </c>
      <c r="C970" t="s">
        <v>695</v>
      </c>
      <c r="D970">
        <v>2701</v>
      </c>
      <c r="E970">
        <v>730</v>
      </c>
    </row>
    <row r="971" spans="1:5" x14ac:dyDescent="0.25">
      <c r="A971" t="s">
        <v>660</v>
      </c>
      <c r="B971" t="str">
        <f>VLOOKUP(Counties_by_State_Code[[#This Row],[State_Code]],Territory_by_Code[],2)</f>
        <v>Kansas</v>
      </c>
      <c r="C971" t="s">
        <v>696</v>
      </c>
      <c r="D971">
        <v>10273</v>
      </c>
      <c r="E971">
        <v>719</v>
      </c>
    </row>
    <row r="972" spans="1:5" x14ac:dyDescent="0.25">
      <c r="A972" t="s">
        <v>660</v>
      </c>
      <c r="B972" t="str">
        <f>VLOOKUP(Counties_by_State_Code[[#This Row],[State_Code]],Territory_by_Code[],2)</f>
        <v>Kansas</v>
      </c>
      <c r="C972" t="s">
        <v>697</v>
      </c>
      <c r="D972">
        <v>15904</v>
      </c>
      <c r="E972">
        <v>572</v>
      </c>
    </row>
    <row r="973" spans="1:5" x14ac:dyDescent="0.25">
      <c r="A973" t="s">
        <v>660</v>
      </c>
      <c r="B973" t="str">
        <f>VLOOKUP(Counties_by_State_Code[[#This Row],[State_Code]],Territory_by_Code[],2)</f>
        <v>Kansas</v>
      </c>
      <c r="C973" t="s">
        <v>698</v>
      </c>
      <c r="D973">
        <v>2687</v>
      </c>
      <c r="E973">
        <v>1075</v>
      </c>
    </row>
    <row r="974" spans="1:5" x14ac:dyDescent="0.25">
      <c r="A974" t="s">
        <v>660</v>
      </c>
      <c r="B974" t="str">
        <f>VLOOKUP(Counties_by_State_Code[[#This Row],[State_Code]],Territory_by_Code[],2)</f>
        <v>Kansas</v>
      </c>
      <c r="C974" t="s">
        <v>699</v>
      </c>
      <c r="D974">
        <v>5459</v>
      </c>
      <c r="E974">
        <v>878</v>
      </c>
    </row>
    <row r="975" spans="1:5" x14ac:dyDescent="0.25">
      <c r="A975" t="s">
        <v>660</v>
      </c>
      <c r="B975" t="str">
        <f>VLOOKUP(Counties_by_State_Code[[#This Row],[State_Code]],Territory_by_Code[],2)</f>
        <v>Kansas</v>
      </c>
      <c r="C975" t="s">
        <v>700</v>
      </c>
      <c r="D975">
        <v>15766</v>
      </c>
      <c r="E975">
        <v>704</v>
      </c>
    </row>
    <row r="976" spans="1:5" x14ac:dyDescent="0.25">
      <c r="A976" t="s">
        <v>660</v>
      </c>
      <c r="B976" t="str">
        <f>VLOOKUP(Counties_by_State_Code[[#This Row],[State_Code]],Territory_by_Code[],2)</f>
        <v>Kansas</v>
      </c>
      <c r="C976" t="s">
        <v>701</v>
      </c>
      <c r="D976">
        <v>3500</v>
      </c>
      <c r="E976">
        <v>893</v>
      </c>
    </row>
    <row r="977" spans="1:5" x14ac:dyDescent="0.25">
      <c r="A977" t="s">
        <v>660</v>
      </c>
      <c r="B977" t="str">
        <f>VLOOKUP(Counties_by_State_Code[[#This Row],[State_Code]],Territory_by_Code[],2)</f>
        <v>Kansas</v>
      </c>
      <c r="C977" t="s">
        <v>702</v>
      </c>
      <c r="D977">
        <v>5735</v>
      </c>
      <c r="E977">
        <v>721</v>
      </c>
    </row>
    <row r="978" spans="1:5" x14ac:dyDescent="0.25">
      <c r="A978" t="s">
        <v>660</v>
      </c>
      <c r="B978" t="str">
        <f>VLOOKUP(Counties_by_State_Code[[#This Row],[State_Code]],Territory_by_Code[],2)</f>
        <v>Kansas</v>
      </c>
      <c r="C978" t="s">
        <v>703</v>
      </c>
      <c r="D978">
        <v>6253</v>
      </c>
      <c r="E978">
        <v>754</v>
      </c>
    </row>
    <row r="979" spans="1:5" x14ac:dyDescent="0.25">
      <c r="A979" t="s">
        <v>660</v>
      </c>
      <c r="B979" t="str">
        <f>VLOOKUP(Counties_by_State_Code[[#This Row],[State_Code]],Territory_by_Code[],2)</f>
        <v>Kansas</v>
      </c>
      <c r="C979" t="s">
        <v>160</v>
      </c>
      <c r="D979">
        <v>4981</v>
      </c>
      <c r="E979">
        <v>886</v>
      </c>
    </row>
    <row r="980" spans="1:5" x14ac:dyDescent="0.25">
      <c r="A980" t="s">
        <v>660</v>
      </c>
      <c r="B980" t="str">
        <f>VLOOKUP(Counties_by_State_Code[[#This Row],[State_Code]],Territory_by_Code[],2)</f>
        <v>Kansas</v>
      </c>
      <c r="C980" t="s">
        <v>704</v>
      </c>
      <c r="D980">
        <v>25348</v>
      </c>
      <c r="E980">
        <v>844</v>
      </c>
    </row>
    <row r="981" spans="1:5" x14ac:dyDescent="0.25">
      <c r="A981" t="s">
        <v>660</v>
      </c>
      <c r="B981" t="str">
        <f>VLOOKUP(Counties_by_State_Code[[#This Row],[State_Code]],Territory_by_Code[],2)</f>
        <v>Kansas</v>
      </c>
      <c r="C981" t="s">
        <v>705</v>
      </c>
      <c r="D981">
        <v>9157</v>
      </c>
      <c r="E981">
        <v>735</v>
      </c>
    </row>
    <row r="982" spans="1:5" x14ac:dyDescent="0.25">
      <c r="A982" t="s">
        <v>660</v>
      </c>
      <c r="B982" t="str">
        <f>VLOOKUP(Counties_by_State_Code[[#This Row],[State_Code]],Territory_by_Code[],2)</f>
        <v>Kansas</v>
      </c>
      <c r="C982" t="s">
        <v>706</v>
      </c>
      <c r="D982">
        <v>2561</v>
      </c>
      <c r="E982">
        <v>1070</v>
      </c>
    </row>
    <row r="983" spans="1:5" x14ac:dyDescent="0.25">
      <c r="A983" t="s">
        <v>660</v>
      </c>
      <c r="B983" t="str">
        <f>VLOOKUP(Counties_by_State_Code[[#This Row],[State_Code]],Territory_by_Code[],2)</f>
        <v>Kansas</v>
      </c>
      <c r="C983" t="s">
        <v>707</v>
      </c>
      <c r="D983">
        <v>61898</v>
      </c>
      <c r="E983">
        <v>1254</v>
      </c>
    </row>
    <row r="984" spans="1:5" x14ac:dyDescent="0.25">
      <c r="A984" t="s">
        <v>660</v>
      </c>
      <c r="B984" t="str">
        <f>VLOOKUP(Counties_by_State_Code[[#This Row],[State_Code]],Territory_by_Code[],2)</f>
        <v>Kansas</v>
      </c>
      <c r="C984" t="s">
        <v>708</v>
      </c>
      <c r="D984">
        <v>4674</v>
      </c>
      <c r="E984">
        <v>716</v>
      </c>
    </row>
    <row r="985" spans="1:5" x14ac:dyDescent="0.25">
      <c r="A985" t="s">
        <v>660</v>
      </c>
      <c r="B985" t="str">
        <f>VLOOKUP(Counties_by_State_Code[[#This Row],[State_Code]],Territory_by_Code[],2)</f>
        <v>Kansas</v>
      </c>
      <c r="C985" t="s">
        <v>709</v>
      </c>
      <c r="D985">
        <v>9427</v>
      </c>
      <c r="E985">
        <v>727</v>
      </c>
    </row>
    <row r="986" spans="1:5" x14ac:dyDescent="0.25">
      <c r="A986" t="s">
        <v>660</v>
      </c>
      <c r="B986" t="str">
        <f>VLOOKUP(Counties_by_State_Code[[#This Row],[State_Code]],Territory_by_Code[],2)</f>
        <v>Kansas</v>
      </c>
      <c r="C986" t="s">
        <v>710</v>
      </c>
      <c r="D986">
        <v>71959</v>
      </c>
      <c r="E986">
        <v>610</v>
      </c>
    </row>
    <row r="987" spans="1:5" x14ac:dyDescent="0.25">
      <c r="A987" t="s">
        <v>660</v>
      </c>
      <c r="B987" t="str">
        <f>VLOOKUP(Counties_by_State_Code[[#This Row],[State_Code]],Territory_by_Code[],2)</f>
        <v>Kansas</v>
      </c>
      <c r="C987" t="s">
        <v>711</v>
      </c>
      <c r="D987">
        <v>4919</v>
      </c>
      <c r="E987">
        <v>888</v>
      </c>
    </row>
    <row r="988" spans="1:5" x14ac:dyDescent="0.25">
      <c r="A988" t="s">
        <v>660</v>
      </c>
      <c r="B988" t="str">
        <f>VLOOKUP(Counties_by_State_Code[[#This Row],[State_Code]],Territory_by_Code[],2)</f>
        <v>Kansas</v>
      </c>
      <c r="C988" t="s">
        <v>599</v>
      </c>
      <c r="D988">
        <v>2956</v>
      </c>
      <c r="E988">
        <v>718</v>
      </c>
    </row>
    <row r="989" spans="1:5" x14ac:dyDescent="0.25">
      <c r="A989" t="s">
        <v>660</v>
      </c>
      <c r="B989" t="str">
        <f>VLOOKUP(Counties_by_State_Code[[#This Row],[State_Code]],Territory_by_Code[],2)</f>
        <v>Kansas</v>
      </c>
      <c r="C989" t="s">
        <v>57</v>
      </c>
      <c r="D989">
        <v>6691</v>
      </c>
      <c r="E989">
        <v>885</v>
      </c>
    </row>
    <row r="990" spans="1:5" x14ac:dyDescent="0.25">
      <c r="A990" t="s">
        <v>660</v>
      </c>
      <c r="B990" t="str">
        <f>VLOOKUP(Counties_by_State_Code[[#This Row],[State_Code]],Territory_by_Code[],2)</f>
        <v>Kansas</v>
      </c>
      <c r="C990" t="s">
        <v>167</v>
      </c>
      <c r="D990">
        <v>54303</v>
      </c>
      <c r="E990">
        <v>720</v>
      </c>
    </row>
    <row r="991" spans="1:5" x14ac:dyDescent="0.25">
      <c r="A991" t="s">
        <v>660</v>
      </c>
      <c r="B991" t="str">
        <f>VLOOKUP(Counties_by_State_Code[[#This Row],[State_Code]],Territory_by_Code[],2)</f>
        <v>Kansas</v>
      </c>
      <c r="C991" t="s">
        <v>168</v>
      </c>
      <c r="D991">
        <v>5151</v>
      </c>
      <c r="E991">
        <v>718</v>
      </c>
    </row>
    <row r="992" spans="1:5" x14ac:dyDescent="0.25">
      <c r="A992" t="s">
        <v>660</v>
      </c>
      <c r="B992" t="str">
        <f>VLOOKUP(Counties_by_State_Code[[#This Row],[State_Code]],Territory_by_Code[],2)</f>
        <v>Kansas</v>
      </c>
      <c r="C992" t="s">
        <v>288</v>
      </c>
      <c r="D992">
        <v>523824</v>
      </c>
      <c r="E992">
        <v>1000</v>
      </c>
    </row>
    <row r="993" spans="1:5" x14ac:dyDescent="0.25">
      <c r="A993" t="s">
        <v>660</v>
      </c>
      <c r="B993" t="str">
        <f>VLOOKUP(Counties_by_State_Code[[#This Row],[State_Code]],Territory_by_Code[],2)</f>
        <v>Kansas</v>
      </c>
      <c r="C993" t="s">
        <v>712</v>
      </c>
      <c r="D993">
        <v>21964</v>
      </c>
      <c r="E993">
        <v>640</v>
      </c>
    </row>
    <row r="994" spans="1:5" x14ac:dyDescent="0.25">
      <c r="A994" t="s">
        <v>660</v>
      </c>
      <c r="B994" t="str">
        <f>VLOOKUP(Counties_by_State_Code[[#This Row],[State_Code]],Territory_by_Code[],2)</f>
        <v>Kansas</v>
      </c>
      <c r="C994" t="s">
        <v>713</v>
      </c>
      <c r="D994">
        <v>178909</v>
      </c>
      <c r="E994">
        <v>550</v>
      </c>
    </row>
    <row r="995" spans="1:5" x14ac:dyDescent="0.25">
      <c r="A995" t="s">
        <v>660</v>
      </c>
      <c r="B995" t="str">
        <f>VLOOKUP(Counties_by_State_Code[[#This Row],[State_Code]],Territory_by_Code[],2)</f>
        <v>Kansas</v>
      </c>
      <c r="C995" t="s">
        <v>714</v>
      </c>
      <c r="D995">
        <v>2447</v>
      </c>
      <c r="E995">
        <v>896</v>
      </c>
    </row>
    <row r="996" spans="1:5" x14ac:dyDescent="0.25">
      <c r="A996" t="s">
        <v>660</v>
      </c>
      <c r="B996" t="str">
        <f>VLOOKUP(Counties_by_State_Code[[#This Row],[State_Code]],Territory_by_Code[],2)</f>
        <v>Kansas</v>
      </c>
      <c r="C996" t="s">
        <v>715</v>
      </c>
      <c r="D996">
        <v>5927</v>
      </c>
      <c r="E996">
        <v>1056</v>
      </c>
    </row>
    <row r="997" spans="1:5" x14ac:dyDescent="0.25">
      <c r="A997" t="s">
        <v>660</v>
      </c>
      <c r="B997" t="str">
        <f>VLOOKUP(Counties_by_State_Code[[#This Row],[State_Code]],Territory_by_Code[],2)</f>
        <v>Kansas</v>
      </c>
      <c r="C997" t="s">
        <v>716</v>
      </c>
      <c r="D997">
        <v>3570</v>
      </c>
      <c r="E997">
        <v>896</v>
      </c>
    </row>
    <row r="998" spans="1:5" x14ac:dyDescent="0.25">
      <c r="A998" t="s">
        <v>660</v>
      </c>
      <c r="B998" t="str">
        <f>VLOOKUP(Counties_by_State_Code[[#This Row],[State_Code]],Territory_by_Code[],2)</f>
        <v>Kansas</v>
      </c>
      <c r="C998" t="s">
        <v>717</v>
      </c>
      <c r="D998">
        <v>4072</v>
      </c>
      <c r="E998">
        <v>792</v>
      </c>
    </row>
    <row r="999" spans="1:5" x14ac:dyDescent="0.25">
      <c r="A999" t="s">
        <v>660</v>
      </c>
      <c r="B999" t="str">
        <f>VLOOKUP(Counties_by_State_Code[[#This Row],[State_Code]],Territory_by_Code[],2)</f>
        <v>Kansas</v>
      </c>
      <c r="C999" t="s">
        <v>718</v>
      </c>
      <c r="D999">
        <v>2084</v>
      </c>
      <c r="E999">
        <v>680</v>
      </c>
    </row>
    <row r="1000" spans="1:5" x14ac:dyDescent="0.25">
      <c r="A1000" t="s">
        <v>660</v>
      </c>
      <c r="B1000" t="str">
        <f>VLOOKUP(Counties_by_State_Code[[#This Row],[State_Code]],Territory_by_Code[],2)</f>
        <v>Kansas</v>
      </c>
      <c r="C1000" t="s">
        <v>719</v>
      </c>
      <c r="D1000">
        <v>5250</v>
      </c>
      <c r="E1000">
        <v>728</v>
      </c>
    </row>
    <row r="1001" spans="1:5" x14ac:dyDescent="0.25">
      <c r="A1001" t="s">
        <v>660</v>
      </c>
      <c r="B1001" t="str">
        <f>VLOOKUP(Counties_by_State_Code[[#This Row],[State_Code]],Territory_by_Code[],2)</f>
        <v>Kansas</v>
      </c>
      <c r="C1001" t="s">
        <v>720</v>
      </c>
      <c r="D1001">
        <v>22382</v>
      </c>
      <c r="E1001">
        <v>1182</v>
      </c>
    </row>
    <row r="1002" spans="1:5" x14ac:dyDescent="0.25">
      <c r="A1002" t="s">
        <v>660</v>
      </c>
      <c r="B1002" t="str">
        <f>VLOOKUP(Counties_by_State_Code[[#This Row],[State_Code]],Territory_by_Code[],2)</f>
        <v>Kansas</v>
      </c>
      <c r="C1002" t="s">
        <v>457</v>
      </c>
      <c r="D1002">
        <v>7930</v>
      </c>
      <c r="E1002">
        <v>1075</v>
      </c>
    </row>
    <row r="1003" spans="1:5" x14ac:dyDescent="0.25">
      <c r="A1003" t="s">
        <v>660</v>
      </c>
      <c r="B1003" t="str">
        <f>VLOOKUP(Counties_by_State_Code[[#This Row],[State_Code]],Territory_by_Code[],2)</f>
        <v>Kansas</v>
      </c>
      <c r="C1003" t="s">
        <v>721</v>
      </c>
      <c r="D1003">
        <v>2808</v>
      </c>
      <c r="E1003">
        <v>888</v>
      </c>
    </row>
    <row r="1004" spans="1:5" x14ac:dyDescent="0.25">
      <c r="A1004" t="s">
        <v>660</v>
      </c>
      <c r="B1004" t="str">
        <f>VLOOKUP(Counties_by_State_Code[[#This Row],[State_Code]],Territory_by_Code[],2)</f>
        <v>Kansas</v>
      </c>
      <c r="C1004" t="s">
        <v>722</v>
      </c>
      <c r="D1004">
        <v>6877</v>
      </c>
      <c r="E1004">
        <v>798</v>
      </c>
    </row>
    <row r="1005" spans="1:5" x14ac:dyDescent="0.25">
      <c r="A1005" t="s">
        <v>660</v>
      </c>
      <c r="B1005" t="str">
        <f>VLOOKUP(Counties_by_State_Code[[#This Row],[State_Code]],Territory_by_Code[],2)</f>
        <v>Kansas</v>
      </c>
      <c r="C1005" t="s">
        <v>723</v>
      </c>
      <c r="D1005">
        <v>1512</v>
      </c>
      <c r="E1005">
        <v>914</v>
      </c>
    </row>
    <row r="1006" spans="1:5" x14ac:dyDescent="0.25">
      <c r="A1006" t="s">
        <v>660</v>
      </c>
      <c r="B1006" t="str">
        <f>VLOOKUP(Counties_by_State_Code[[#This Row],[State_Code]],Territory_by_Code[],2)</f>
        <v>Kansas</v>
      </c>
      <c r="C1006" t="s">
        <v>65</v>
      </c>
      <c r="D1006">
        <v>5530</v>
      </c>
      <c r="E1006">
        <v>898</v>
      </c>
    </row>
    <row r="1007" spans="1:5" x14ac:dyDescent="0.25">
      <c r="A1007" t="s">
        <v>660</v>
      </c>
      <c r="B1007" t="str">
        <f>VLOOKUP(Counties_by_State_Code[[#This Row],[State_Code]],Territory_by_Code[],2)</f>
        <v>Kansas</v>
      </c>
      <c r="C1007" t="s">
        <v>724</v>
      </c>
      <c r="D1007">
        <v>2152</v>
      </c>
      <c r="E1007">
        <v>719</v>
      </c>
    </row>
    <row r="1008" spans="1:5" x14ac:dyDescent="0.25">
      <c r="A1008" t="s">
        <v>660</v>
      </c>
      <c r="B1008" t="str">
        <f>VLOOKUP(Counties_by_State_Code[[#This Row],[State_Code]],Territory_by_Code[],2)</f>
        <v>Kansas</v>
      </c>
      <c r="C1008" t="s">
        <v>725</v>
      </c>
      <c r="D1008">
        <v>8624</v>
      </c>
      <c r="E1008">
        <v>574</v>
      </c>
    </row>
    <row r="1009" spans="1:5" x14ac:dyDescent="0.25">
      <c r="A1009" t="s">
        <v>660</v>
      </c>
      <c r="B1009" t="str">
        <f>VLOOKUP(Counties_by_State_Code[[#This Row],[State_Code]],Territory_by_Code[],2)</f>
        <v>Kansas</v>
      </c>
      <c r="C1009" t="s">
        <v>726</v>
      </c>
      <c r="D1009">
        <v>3115</v>
      </c>
      <c r="E1009">
        <v>501</v>
      </c>
    </row>
    <row r="1010" spans="1:5" x14ac:dyDescent="0.25">
      <c r="A1010" t="s">
        <v>660</v>
      </c>
      <c r="B1010" t="str">
        <f>VLOOKUP(Counties_by_State_Code[[#This Row],[State_Code]],Territory_by_Code[],2)</f>
        <v>Kansas</v>
      </c>
      <c r="C1010" t="s">
        <v>727</v>
      </c>
      <c r="D1010">
        <v>169245</v>
      </c>
      <c r="E1010">
        <v>151</v>
      </c>
    </row>
    <row r="1011" spans="1:5" x14ac:dyDescent="0.25">
      <c r="A1011" t="s">
        <v>728</v>
      </c>
      <c r="B1011" t="str">
        <f>VLOOKUP(Counties_by_State_Code[[#This Row],[State_Code]],Territory_by_Code[],2)</f>
        <v>Kentucky</v>
      </c>
      <c r="C1011" t="s">
        <v>614</v>
      </c>
      <c r="D1011">
        <v>18903</v>
      </c>
      <c r="E1011">
        <v>407</v>
      </c>
    </row>
    <row r="1012" spans="1:5" x14ac:dyDescent="0.25">
      <c r="A1012" t="s">
        <v>728</v>
      </c>
      <c r="B1012" t="str">
        <f>VLOOKUP(Counties_by_State_Code[[#This Row],[State_Code]],Territory_by_Code[],2)</f>
        <v>Kentucky</v>
      </c>
      <c r="C1012" t="s">
        <v>573</v>
      </c>
      <c r="D1012">
        <v>20588</v>
      </c>
      <c r="E1012">
        <v>344</v>
      </c>
    </row>
    <row r="1013" spans="1:5" x14ac:dyDescent="0.25">
      <c r="A1013" t="s">
        <v>728</v>
      </c>
      <c r="B1013" t="str">
        <f>VLOOKUP(Counties_by_State_Code[[#This Row],[State_Code]],Territory_by_Code[],2)</f>
        <v>Kentucky</v>
      </c>
      <c r="C1013" t="s">
        <v>661</v>
      </c>
      <c r="D1013">
        <v>23852</v>
      </c>
      <c r="E1013">
        <v>203</v>
      </c>
    </row>
    <row r="1014" spans="1:5" x14ac:dyDescent="0.25">
      <c r="A1014" t="s">
        <v>728</v>
      </c>
      <c r="B1014" t="str">
        <f>VLOOKUP(Counties_by_State_Code[[#This Row],[State_Code]],Territory_by_Code[],2)</f>
        <v>Kentucky</v>
      </c>
      <c r="C1014" t="s">
        <v>729</v>
      </c>
      <c r="D1014">
        <v>7728</v>
      </c>
      <c r="E1014">
        <v>251</v>
      </c>
    </row>
    <row r="1015" spans="1:5" x14ac:dyDescent="0.25">
      <c r="A1015" t="s">
        <v>728</v>
      </c>
      <c r="B1015" t="str">
        <f>VLOOKUP(Counties_by_State_Code[[#This Row],[State_Code]],Territory_by_Code[],2)</f>
        <v>Kentucky</v>
      </c>
      <c r="C1015" t="s">
        <v>730</v>
      </c>
      <c r="D1015">
        <v>44485</v>
      </c>
      <c r="E1015">
        <v>491</v>
      </c>
    </row>
    <row r="1016" spans="1:5" x14ac:dyDescent="0.25">
      <c r="A1016" t="s">
        <v>728</v>
      </c>
      <c r="B1016" t="str">
        <f>VLOOKUP(Counties_by_State_Code[[#This Row],[State_Code]],Territory_by_Code[],2)</f>
        <v>Kentucky</v>
      </c>
      <c r="C1016" t="s">
        <v>731</v>
      </c>
      <c r="D1016">
        <v>12750</v>
      </c>
      <c r="E1016">
        <v>279</v>
      </c>
    </row>
    <row r="1017" spans="1:5" x14ac:dyDescent="0.25">
      <c r="A1017" t="s">
        <v>728</v>
      </c>
      <c r="B1017" t="str">
        <f>VLOOKUP(Counties_by_State_Code[[#This Row],[State_Code]],Territory_by_Code[],2)</f>
        <v>Kentucky</v>
      </c>
      <c r="C1017" t="s">
        <v>732</v>
      </c>
      <c r="D1017">
        <v>24097</v>
      </c>
      <c r="E1017">
        <v>361</v>
      </c>
    </row>
    <row r="1018" spans="1:5" x14ac:dyDescent="0.25">
      <c r="A1018" t="s">
        <v>728</v>
      </c>
      <c r="B1018" t="str">
        <f>VLOOKUP(Counties_by_State_Code[[#This Row],[State_Code]],Territory_by_Code[],2)</f>
        <v>Kentucky</v>
      </c>
      <c r="C1018" t="s">
        <v>126</v>
      </c>
      <c r="D1018">
        <v>135968</v>
      </c>
      <c r="E1018">
        <v>246</v>
      </c>
    </row>
    <row r="1019" spans="1:5" x14ac:dyDescent="0.25">
      <c r="A1019" t="s">
        <v>728</v>
      </c>
      <c r="B1019" t="str">
        <f>VLOOKUP(Counties_by_State_Code[[#This Row],[State_Code]],Territory_by_Code[],2)</f>
        <v>Kentucky</v>
      </c>
      <c r="C1019" t="s">
        <v>665</v>
      </c>
      <c r="D1019">
        <v>20252</v>
      </c>
      <c r="E1019">
        <v>291</v>
      </c>
    </row>
    <row r="1020" spans="1:5" x14ac:dyDescent="0.25">
      <c r="A1020" t="s">
        <v>728</v>
      </c>
      <c r="B1020" t="str">
        <f>VLOOKUP(Counties_by_State_Code[[#This Row],[State_Code]],Territory_by_Code[],2)</f>
        <v>Kentucky</v>
      </c>
      <c r="C1020" t="s">
        <v>733</v>
      </c>
      <c r="D1020">
        <v>48261</v>
      </c>
      <c r="E1020">
        <v>160</v>
      </c>
    </row>
    <row r="1021" spans="1:5" x14ac:dyDescent="0.25">
      <c r="A1021" t="s">
        <v>728</v>
      </c>
      <c r="B1021" t="str">
        <f>VLOOKUP(Counties_by_State_Code[[#This Row],[State_Code]],Territory_by_Code[],2)</f>
        <v>Kentucky</v>
      </c>
      <c r="C1021" t="s">
        <v>734</v>
      </c>
      <c r="D1021">
        <v>30614</v>
      </c>
      <c r="E1021">
        <v>182</v>
      </c>
    </row>
    <row r="1022" spans="1:5" x14ac:dyDescent="0.25">
      <c r="A1022" t="s">
        <v>728</v>
      </c>
      <c r="B1022" t="str">
        <f>VLOOKUP(Counties_by_State_Code[[#This Row],[State_Code]],Territory_by_Code[],2)</f>
        <v>Kentucky</v>
      </c>
      <c r="C1022" t="s">
        <v>735</v>
      </c>
      <c r="D1022">
        <v>8400</v>
      </c>
      <c r="E1022">
        <v>203</v>
      </c>
    </row>
    <row r="1023" spans="1:5" x14ac:dyDescent="0.25">
      <c r="A1023" t="s">
        <v>728</v>
      </c>
      <c r="B1023" t="str">
        <f>VLOOKUP(Counties_by_State_Code[[#This Row],[State_Code]],Territory_by_Code[],2)</f>
        <v>Kentucky</v>
      </c>
      <c r="C1023" t="s">
        <v>736</v>
      </c>
      <c r="D1023">
        <v>13718</v>
      </c>
      <c r="E1023">
        <v>495</v>
      </c>
    </row>
    <row r="1024" spans="1:5" x14ac:dyDescent="0.25">
      <c r="A1024" t="s">
        <v>728</v>
      </c>
      <c r="B1024" t="str">
        <f>VLOOKUP(Counties_by_State_Code[[#This Row],[State_Code]],Territory_by_Code[],2)</f>
        <v>Kentucky</v>
      </c>
      <c r="C1024" t="s">
        <v>737</v>
      </c>
      <c r="D1024">
        <v>20432</v>
      </c>
      <c r="E1024">
        <v>572</v>
      </c>
    </row>
    <row r="1025" spans="1:5" x14ac:dyDescent="0.25">
      <c r="A1025" t="s">
        <v>728</v>
      </c>
      <c r="B1025" t="str">
        <f>VLOOKUP(Counties_by_State_Code[[#This Row],[State_Code]],Territory_by_Code[],2)</f>
        <v>Kentucky</v>
      </c>
      <c r="C1025" t="s">
        <v>738</v>
      </c>
      <c r="D1025">
        <v>82217</v>
      </c>
      <c r="E1025">
        <v>299</v>
      </c>
    </row>
    <row r="1026" spans="1:5" x14ac:dyDescent="0.25">
      <c r="A1026" t="s">
        <v>728</v>
      </c>
      <c r="B1026" t="str">
        <f>VLOOKUP(Counties_by_State_Code[[#This Row],[State_Code]],Territory_by_Code[],2)</f>
        <v>Kentucky</v>
      </c>
      <c r="C1026" t="s">
        <v>7</v>
      </c>
      <c r="D1026">
        <v>12371</v>
      </c>
      <c r="E1026">
        <v>428</v>
      </c>
    </row>
    <row r="1027" spans="1:5" x14ac:dyDescent="0.25">
      <c r="A1027" t="s">
        <v>728</v>
      </c>
      <c r="B1027" t="str">
        <f>VLOOKUP(Counties_by_State_Code[[#This Row],[State_Code]],Territory_by_Code[],2)</f>
        <v>Kentucky</v>
      </c>
      <c r="C1027" t="s">
        <v>739</v>
      </c>
      <c r="D1027">
        <v>12649</v>
      </c>
      <c r="E1027">
        <v>347</v>
      </c>
    </row>
    <row r="1028" spans="1:5" x14ac:dyDescent="0.25">
      <c r="A1028" t="s">
        <v>728</v>
      </c>
      <c r="B1028" t="str">
        <f>VLOOKUP(Counties_by_State_Code[[#This Row],[State_Code]],Territory_by_Code[],2)</f>
        <v>Kentucky</v>
      </c>
      <c r="C1028" t="s">
        <v>740</v>
      </c>
      <c r="D1028">
        <v>37103</v>
      </c>
      <c r="E1028">
        <v>386</v>
      </c>
    </row>
    <row r="1029" spans="1:5" x14ac:dyDescent="0.25">
      <c r="A1029" t="s">
        <v>728</v>
      </c>
      <c r="B1029" t="str">
        <f>VLOOKUP(Counties_by_State_Code[[#This Row],[State_Code]],Territory_by_Code[],2)</f>
        <v>Kentucky</v>
      </c>
      <c r="C1029" t="s">
        <v>741</v>
      </c>
      <c r="D1029">
        <v>93076</v>
      </c>
      <c r="E1029">
        <v>152</v>
      </c>
    </row>
    <row r="1030" spans="1:5" x14ac:dyDescent="0.25">
      <c r="A1030" t="s">
        <v>728</v>
      </c>
      <c r="B1030" t="str">
        <f>VLOOKUP(Counties_by_State_Code[[#This Row],[State_Code]],Territory_by_Code[],2)</f>
        <v>Kentucky</v>
      </c>
      <c r="C1030" t="s">
        <v>742</v>
      </c>
      <c r="D1030">
        <v>4826</v>
      </c>
      <c r="E1030">
        <v>192</v>
      </c>
    </row>
    <row r="1031" spans="1:5" x14ac:dyDescent="0.25">
      <c r="A1031" t="s">
        <v>728</v>
      </c>
      <c r="B1031" t="str">
        <f>VLOOKUP(Counties_by_State_Code[[#This Row],[State_Code]],Territory_by_Code[],2)</f>
        <v>Kentucky</v>
      </c>
      <c r="C1031" t="s">
        <v>128</v>
      </c>
      <c r="D1031">
        <v>10810</v>
      </c>
      <c r="E1031">
        <v>130</v>
      </c>
    </row>
    <row r="1032" spans="1:5" x14ac:dyDescent="0.25">
      <c r="A1032" t="s">
        <v>728</v>
      </c>
      <c r="B1032" t="str">
        <f>VLOOKUP(Counties_by_State_Code[[#This Row],[State_Code]],Territory_by_Code[],2)</f>
        <v>Kentucky</v>
      </c>
      <c r="C1032" t="s">
        <v>743</v>
      </c>
      <c r="D1032">
        <v>26627</v>
      </c>
      <c r="E1032">
        <v>411</v>
      </c>
    </row>
    <row r="1033" spans="1:5" x14ac:dyDescent="0.25">
      <c r="A1033" t="s">
        <v>728</v>
      </c>
      <c r="B1033" t="str">
        <f>VLOOKUP(Counties_by_State_Code[[#This Row],[State_Code]],Territory_by_Code[],2)</f>
        <v>Kentucky</v>
      </c>
      <c r="C1033" t="s">
        <v>744</v>
      </c>
      <c r="D1033">
        <v>15941</v>
      </c>
      <c r="E1033">
        <v>446</v>
      </c>
    </row>
    <row r="1034" spans="1:5" x14ac:dyDescent="0.25">
      <c r="A1034" t="s">
        <v>728</v>
      </c>
      <c r="B1034" t="str">
        <f>VLOOKUP(Counties_by_State_Code[[#This Row],[State_Code]],Territory_by_Code[],2)</f>
        <v>Kentucky</v>
      </c>
      <c r="C1034" t="s">
        <v>524</v>
      </c>
      <c r="D1034">
        <v>72748</v>
      </c>
      <c r="E1034">
        <v>721</v>
      </c>
    </row>
    <row r="1035" spans="1:5" x14ac:dyDescent="0.25">
      <c r="A1035" t="s">
        <v>728</v>
      </c>
      <c r="B1035" t="str">
        <f>VLOOKUP(Counties_by_State_Code[[#This Row],[State_Code]],Territory_by_Code[],2)</f>
        <v>Kentucky</v>
      </c>
      <c r="C1035" t="s">
        <v>130</v>
      </c>
      <c r="D1035">
        <v>36972</v>
      </c>
      <c r="E1035">
        <v>254</v>
      </c>
    </row>
    <row r="1036" spans="1:5" x14ac:dyDescent="0.25">
      <c r="A1036" t="s">
        <v>728</v>
      </c>
      <c r="B1036" t="str">
        <f>VLOOKUP(Counties_by_State_Code[[#This Row],[State_Code]],Territory_by_Code[],2)</f>
        <v>Kentucky</v>
      </c>
      <c r="C1036" t="s">
        <v>14</v>
      </c>
      <c r="D1036">
        <v>20345</v>
      </c>
      <c r="E1036">
        <v>471</v>
      </c>
    </row>
    <row r="1037" spans="1:5" x14ac:dyDescent="0.25">
      <c r="A1037" t="s">
        <v>728</v>
      </c>
      <c r="B1037" t="str">
        <f>VLOOKUP(Counties_by_State_Code[[#This Row],[State_Code]],Territory_by_Code[],2)</f>
        <v>Kentucky</v>
      </c>
      <c r="C1037" t="s">
        <v>525</v>
      </c>
      <c r="D1037">
        <v>9253</v>
      </c>
      <c r="E1037">
        <v>198</v>
      </c>
    </row>
    <row r="1038" spans="1:5" x14ac:dyDescent="0.25">
      <c r="A1038" t="s">
        <v>728</v>
      </c>
      <c r="B1038" t="str">
        <f>VLOOKUP(Counties_by_State_Code[[#This Row],[State_Code]],Territory_by_Code[],2)</f>
        <v>Kentucky</v>
      </c>
      <c r="C1038" t="s">
        <v>136</v>
      </c>
      <c r="D1038">
        <v>8990</v>
      </c>
      <c r="E1038">
        <v>362</v>
      </c>
    </row>
    <row r="1039" spans="1:5" x14ac:dyDescent="0.25">
      <c r="A1039" t="s">
        <v>728</v>
      </c>
      <c r="B1039" t="str">
        <f>VLOOKUP(Counties_by_State_Code[[#This Row],[State_Code]],Territory_by_Code[],2)</f>
        <v>Kentucky</v>
      </c>
      <c r="C1039" t="s">
        <v>527</v>
      </c>
      <c r="D1039">
        <v>5888</v>
      </c>
      <c r="E1039">
        <v>306</v>
      </c>
    </row>
    <row r="1040" spans="1:5" x14ac:dyDescent="0.25">
      <c r="A1040" t="s">
        <v>728</v>
      </c>
      <c r="B1040" t="str">
        <f>VLOOKUP(Counties_by_State_Code[[#This Row],[State_Code]],Territory_by_Code[],2)</f>
        <v>Kentucky</v>
      </c>
      <c r="C1040" t="s">
        <v>576</v>
      </c>
      <c r="D1040">
        <v>103312</v>
      </c>
      <c r="E1040">
        <v>462</v>
      </c>
    </row>
    <row r="1041" spans="1:5" x14ac:dyDescent="0.25">
      <c r="A1041" t="s">
        <v>728</v>
      </c>
      <c r="B1041" t="str">
        <f>VLOOKUP(Counties_by_State_Code[[#This Row],[State_Code]],Territory_by_Code[],2)</f>
        <v>Kentucky</v>
      </c>
      <c r="C1041" t="s">
        <v>745</v>
      </c>
      <c r="D1041">
        <v>12126</v>
      </c>
      <c r="E1041">
        <v>303</v>
      </c>
    </row>
    <row r="1042" spans="1:5" x14ac:dyDescent="0.25">
      <c r="A1042" t="s">
        <v>728</v>
      </c>
      <c r="B1042" t="str">
        <f>VLOOKUP(Counties_by_State_Code[[#This Row],[State_Code]],Territory_by_Code[],2)</f>
        <v>Kentucky</v>
      </c>
      <c r="C1042" t="s">
        <v>746</v>
      </c>
      <c r="D1042">
        <v>7354</v>
      </c>
      <c r="E1042">
        <v>234</v>
      </c>
    </row>
    <row r="1043" spans="1:5" x14ac:dyDescent="0.25">
      <c r="A1043" t="s">
        <v>728</v>
      </c>
      <c r="B1043" t="str">
        <f>VLOOKUP(Counties_by_State_Code[[#This Row],[State_Code]],Territory_by_Code[],2)</f>
        <v>Kentucky</v>
      </c>
      <c r="C1043" t="s">
        <v>747</v>
      </c>
      <c r="D1043">
        <v>14163</v>
      </c>
      <c r="E1043">
        <v>254</v>
      </c>
    </row>
    <row r="1044" spans="1:5" x14ac:dyDescent="0.25">
      <c r="A1044" t="s">
        <v>728</v>
      </c>
      <c r="B1044" t="str">
        <f>VLOOKUP(Counties_by_State_Code[[#This Row],[State_Code]],Territory_by_Code[],2)</f>
        <v>Kentucky</v>
      </c>
      <c r="C1044" t="s">
        <v>29</v>
      </c>
      <c r="D1044">
        <v>322570</v>
      </c>
      <c r="E1044">
        <v>284</v>
      </c>
    </row>
    <row r="1045" spans="1:5" x14ac:dyDescent="0.25">
      <c r="A1045" t="s">
        <v>728</v>
      </c>
      <c r="B1045" t="str">
        <f>VLOOKUP(Counties_by_State_Code[[#This Row],[State_Code]],Territory_by_Code[],2)</f>
        <v>Kentucky</v>
      </c>
      <c r="C1045" t="s">
        <v>748</v>
      </c>
      <c r="D1045">
        <v>15082</v>
      </c>
      <c r="E1045">
        <v>351</v>
      </c>
    </row>
    <row r="1046" spans="1:5" x14ac:dyDescent="0.25">
      <c r="A1046" t="s">
        <v>728</v>
      </c>
      <c r="B1046" t="str">
        <f>VLOOKUP(Counties_by_State_Code[[#This Row],[State_Code]],Territory_by_Code[],2)</f>
        <v>Kentucky</v>
      </c>
      <c r="C1046" t="s">
        <v>408</v>
      </c>
      <c r="D1046">
        <v>35942</v>
      </c>
      <c r="E1046">
        <v>394</v>
      </c>
    </row>
    <row r="1047" spans="1:5" x14ac:dyDescent="0.25">
      <c r="A1047" t="s">
        <v>728</v>
      </c>
      <c r="B1047" t="str">
        <f>VLOOKUP(Counties_by_State_Code[[#This Row],[State_Code]],Territory_by_Code[],2)</f>
        <v>Kentucky</v>
      </c>
      <c r="C1047" t="s">
        <v>30</v>
      </c>
      <c r="D1047">
        <v>51541</v>
      </c>
      <c r="E1047">
        <v>210</v>
      </c>
    </row>
    <row r="1048" spans="1:5" x14ac:dyDescent="0.25">
      <c r="A1048" t="s">
        <v>728</v>
      </c>
      <c r="B1048" t="str">
        <f>VLOOKUP(Counties_by_State_Code[[#This Row],[State_Code]],Territory_by_Code[],2)</f>
        <v>Kentucky</v>
      </c>
      <c r="C1048" t="s">
        <v>141</v>
      </c>
      <c r="D1048">
        <v>6515</v>
      </c>
      <c r="E1048">
        <v>209</v>
      </c>
    </row>
    <row r="1049" spans="1:5" x14ac:dyDescent="0.25">
      <c r="A1049" t="s">
        <v>728</v>
      </c>
      <c r="B1049" t="str">
        <f>VLOOKUP(Counties_by_State_Code[[#This Row],[State_Code]],Territory_by_Code[],2)</f>
        <v>Kentucky</v>
      </c>
      <c r="C1049" t="s">
        <v>533</v>
      </c>
      <c r="D1049">
        <v>8690</v>
      </c>
      <c r="E1049">
        <v>105</v>
      </c>
    </row>
    <row r="1050" spans="1:5" x14ac:dyDescent="0.25">
      <c r="A1050" t="s">
        <v>728</v>
      </c>
      <c r="B1050" t="str">
        <f>VLOOKUP(Counties_by_State_Code[[#This Row],[State_Code]],Territory_by_Code[],2)</f>
        <v>Kentucky</v>
      </c>
      <c r="C1050" t="s">
        <v>749</v>
      </c>
      <c r="D1050">
        <v>16953</v>
      </c>
      <c r="E1050">
        <v>231</v>
      </c>
    </row>
    <row r="1051" spans="1:5" x14ac:dyDescent="0.25">
      <c r="A1051" t="s">
        <v>728</v>
      </c>
      <c r="B1051" t="str">
        <f>VLOOKUP(Counties_by_State_Code[[#This Row],[State_Code]],Territory_by_Code[],2)</f>
        <v>Kentucky</v>
      </c>
      <c r="C1051" t="s">
        <v>143</v>
      </c>
      <c r="D1051">
        <v>24941</v>
      </c>
      <c r="E1051">
        <v>260</v>
      </c>
    </row>
    <row r="1052" spans="1:5" x14ac:dyDescent="0.25">
      <c r="A1052" t="s">
        <v>728</v>
      </c>
      <c r="B1052" t="str">
        <f>VLOOKUP(Counties_by_State_Code[[#This Row],[State_Code]],Territory_by_Code[],2)</f>
        <v>Kentucky</v>
      </c>
      <c r="C1052" t="s">
        <v>750</v>
      </c>
      <c r="D1052">
        <v>36649</v>
      </c>
      <c r="E1052">
        <v>556</v>
      </c>
    </row>
    <row r="1053" spans="1:5" x14ac:dyDescent="0.25">
      <c r="A1053" t="s">
        <v>728</v>
      </c>
      <c r="B1053" t="str">
        <f>VLOOKUP(Counties_by_State_Code[[#This Row],[State_Code]],Territory_by_Code[],2)</f>
        <v>Kentucky</v>
      </c>
      <c r="C1053" t="s">
        <v>751</v>
      </c>
      <c r="D1053">
        <v>26420</v>
      </c>
      <c r="E1053">
        <v>504</v>
      </c>
    </row>
    <row r="1054" spans="1:5" x14ac:dyDescent="0.25">
      <c r="A1054" t="s">
        <v>728</v>
      </c>
      <c r="B1054" t="str">
        <f>VLOOKUP(Counties_by_State_Code[[#This Row],[State_Code]],Territory_by_Code[],2)</f>
        <v>Kentucky</v>
      </c>
      <c r="C1054" t="s">
        <v>752</v>
      </c>
      <c r="D1054">
        <v>11107</v>
      </c>
      <c r="E1054">
        <v>289</v>
      </c>
    </row>
    <row r="1055" spans="1:5" x14ac:dyDescent="0.25">
      <c r="A1055" t="s">
        <v>728</v>
      </c>
      <c r="B1055" t="str">
        <f>VLOOKUP(Counties_by_State_Code[[#This Row],[State_Code]],Territory_by_Code[],2)</f>
        <v>Kentucky</v>
      </c>
      <c r="C1055" t="s">
        <v>753</v>
      </c>
      <c r="D1055">
        <v>35962</v>
      </c>
      <c r="E1055">
        <v>346</v>
      </c>
    </row>
    <row r="1056" spans="1:5" x14ac:dyDescent="0.25">
      <c r="A1056" t="s">
        <v>728</v>
      </c>
      <c r="B1056" t="str">
        <f>VLOOKUP(Counties_by_State_Code[[#This Row],[State_Code]],Territory_by_Code[],2)</f>
        <v>Kentucky</v>
      </c>
      <c r="C1056" t="s">
        <v>418</v>
      </c>
      <c r="D1056">
        <v>9095</v>
      </c>
      <c r="E1056">
        <v>189</v>
      </c>
    </row>
    <row r="1057" spans="1:5" x14ac:dyDescent="0.25">
      <c r="A1057" t="s">
        <v>728</v>
      </c>
      <c r="B1057" t="str">
        <f>VLOOKUP(Counties_by_State_Code[[#This Row],[State_Code]],Territory_by_Code[],2)</f>
        <v>Kentucky</v>
      </c>
      <c r="C1057" t="s">
        <v>535</v>
      </c>
      <c r="D1057">
        <v>110702</v>
      </c>
      <c r="E1057">
        <v>628</v>
      </c>
    </row>
    <row r="1058" spans="1:5" x14ac:dyDescent="0.25">
      <c r="A1058" t="s">
        <v>728</v>
      </c>
      <c r="B1058" t="str">
        <f>VLOOKUP(Counties_by_State_Code[[#This Row],[State_Code]],Territory_by_Code[],2)</f>
        <v>Kentucky</v>
      </c>
      <c r="C1058" t="s">
        <v>754</v>
      </c>
      <c r="D1058">
        <v>26831</v>
      </c>
      <c r="E1058">
        <v>467</v>
      </c>
    </row>
    <row r="1059" spans="1:5" x14ac:dyDescent="0.25">
      <c r="A1059" t="s">
        <v>728</v>
      </c>
      <c r="B1059" t="str">
        <f>VLOOKUP(Counties_by_State_Code[[#This Row],[State_Code]],Territory_by_Code[],2)</f>
        <v>Kentucky</v>
      </c>
      <c r="C1059" t="s">
        <v>583</v>
      </c>
      <c r="D1059">
        <v>18692</v>
      </c>
      <c r="E1059">
        <v>310</v>
      </c>
    </row>
    <row r="1060" spans="1:5" x14ac:dyDescent="0.25">
      <c r="A1060" t="s">
        <v>728</v>
      </c>
      <c r="B1060" t="str">
        <f>VLOOKUP(Counties_by_State_Code[[#This Row],[State_Code]],Territory_by_Code[],2)</f>
        <v>Kentucky</v>
      </c>
      <c r="C1060" t="s">
        <v>421</v>
      </c>
      <c r="D1060">
        <v>19288</v>
      </c>
      <c r="E1060">
        <v>416</v>
      </c>
    </row>
    <row r="1061" spans="1:5" x14ac:dyDescent="0.25">
      <c r="A1061" t="s">
        <v>728</v>
      </c>
      <c r="B1061" t="str">
        <f>VLOOKUP(Counties_by_State_Code[[#This Row],[State_Code]],Territory_by_Code[],2)</f>
        <v>Kentucky</v>
      </c>
      <c r="C1061" t="s">
        <v>536</v>
      </c>
      <c r="D1061">
        <v>44793</v>
      </c>
      <c r="E1061">
        <v>440</v>
      </c>
    </row>
    <row r="1062" spans="1:5" x14ac:dyDescent="0.25">
      <c r="A1062" t="s">
        <v>728</v>
      </c>
      <c r="B1062" t="str">
        <f>VLOOKUP(Counties_by_State_Code[[#This Row],[State_Code]],Territory_by_Code[],2)</f>
        <v>Kentucky</v>
      </c>
      <c r="C1062" t="s">
        <v>34</v>
      </c>
      <c r="D1062">
        <v>15678</v>
      </c>
      <c r="E1062">
        <v>289</v>
      </c>
    </row>
    <row r="1063" spans="1:5" x14ac:dyDescent="0.25">
      <c r="A1063" t="s">
        <v>728</v>
      </c>
      <c r="B1063" t="str">
        <f>VLOOKUP(Counties_by_State_Code[[#This Row],[State_Code]],Territory_by_Code[],2)</f>
        <v>Kentucky</v>
      </c>
      <c r="C1063" t="s">
        <v>755</v>
      </c>
      <c r="D1063">
        <v>4521</v>
      </c>
      <c r="E1063">
        <v>244</v>
      </c>
    </row>
    <row r="1064" spans="1:5" x14ac:dyDescent="0.25">
      <c r="A1064" t="s">
        <v>728</v>
      </c>
      <c r="B1064" t="str">
        <f>VLOOKUP(Counties_by_State_Code[[#This Row],[State_Code]],Territory_by_Code[],2)</f>
        <v>Kentucky</v>
      </c>
      <c r="C1064" t="s">
        <v>756</v>
      </c>
      <c r="D1064">
        <v>45423</v>
      </c>
      <c r="E1064">
        <v>551</v>
      </c>
    </row>
    <row r="1065" spans="1:5" x14ac:dyDescent="0.25">
      <c r="A1065" t="s">
        <v>728</v>
      </c>
      <c r="B1065" t="str">
        <f>VLOOKUP(Counties_by_State_Code[[#This Row],[State_Code]],Territory_by_Code[],2)</f>
        <v>Kentucky</v>
      </c>
      <c r="C1065" t="s">
        <v>36</v>
      </c>
      <c r="D1065">
        <v>12955</v>
      </c>
      <c r="E1065">
        <v>346</v>
      </c>
    </row>
    <row r="1066" spans="1:5" x14ac:dyDescent="0.25">
      <c r="A1066" t="s">
        <v>728</v>
      </c>
      <c r="B1066" t="str">
        <f>VLOOKUP(Counties_by_State_Code[[#This Row],[State_Code]],Territory_by_Code[],2)</f>
        <v>Kentucky</v>
      </c>
      <c r="C1066" t="s">
        <v>37</v>
      </c>
      <c r="D1066">
        <v>782969</v>
      </c>
      <c r="E1066">
        <v>385</v>
      </c>
    </row>
    <row r="1067" spans="1:5" x14ac:dyDescent="0.25">
      <c r="A1067" t="s">
        <v>728</v>
      </c>
      <c r="B1067" t="str">
        <f>VLOOKUP(Counties_by_State_Code[[#This Row],[State_Code]],Territory_by_Code[],2)</f>
        <v>Kentucky</v>
      </c>
      <c r="C1067" t="s">
        <v>757</v>
      </c>
      <c r="D1067">
        <v>52991</v>
      </c>
      <c r="E1067">
        <v>173</v>
      </c>
    </row>
    <row r="1068" spans="1:5" x14ac:dyDescent="0.25">
      <c r="A1068" t="s">
        <v>728</v>
      </c>
      <c r="B1068" t="str">
        <f>VLOOKUP(Counties_by_State_Code[[#This Row],[State_Code]],Territory_by_Code[],2)</f>
        <v>Kentucky</v>
      </c>
      <c r="C1068" t="s">
        <v>149</v>
      </c>
      <c r="D1068">
        <v>22680</v>
      </c>
      <c r="E1068">
        <v>262</v>
      </c>
    </row>
    <row r="1069" spans="1:5" x14ac:dyDescent="0.25">
      <c r="A1069" t="s">
        <v>728</v>
      </c>
      <c r="B1069" t="str">
        <f>VLOOKUP(Counties_by_State_Code[[#This Row],[State_Code]],Territory_by_Code[],2)</f>
        <v>Kentucky</v>
      </c>
      <c r="C1069" t="s">
        <v>758</v>
      </c>
      <c r="D1069">
        <v>169064</v>
      </c>
      <c r="E1069">
        <v>163</v>
      </c>
    </row>
    <row r="1070" spans="1:5" x14ac:dyDescent="0.25">
      <c r="A1070" t="s">
        <v>728</v>
      </c>
      <c r="B1070" t="str">
        <f>VLOOKUP(Counties_by_State_Code[[#This Row],[State_Code]],Territory_by_Code[],2)</f>
        <v>Kentucky</v>
      </c>
      <c r="C1070" t="s">
        <v>759</v>
      </c>
      <c r="D1070">
        <v>14251</v>
      </c>
      <c r="E1070">
        <v>352</v>
      </c>
    </row>
    <row r="1071" spans="1:5" x14ac:dyDescent="0.25">
      <c r="A1071" t="s">
        <v>728</v>
      </c>
      <c r="B1071" t="str">
        <f>VLOOKUP(Counties_by_State_Code[[#This Row],[State_Code]],Territory_by_Code[],2)</f>
        <v>Kentucky</v>
      </c>
      <c r="C1071" t="s">
        <v>543</v>
      </c>
      <c r="D1071">
        <v>30193</v>
      </c>
      <c r="E1071">
        <v>388</v>
      </c>
    </row>
    <row r="1072" spans="1:5" x14ac:dyDescent="0.25">
      <c r="A1072" t="s">
        <v>728</v>
      </c>
      <c r="B1072" t="str">
        <f>VLOOKUP(Counties_by_State_Code[[#This Row],[State_Code]],Territory_by_Code[],2)</f>
        <v>Kentucky</v>
      </c>
      <c r="C1072" t="s">
        <v>760</v>
      </c>
      <c r="D1072">
        <v>14867</v>
      </c>
      <c r="E1072">
        <v>263</v>
      </c>
    </row>
    <row r="1073" spans="1:5" x14ac:dyDescent="0.25">
      <c r="A1073" t="s">
        <v>728</v>
      </c>
      <c r="B1073" t="str">
        <f>VLOOKUP(Counties_by_State_Code[[#This Row],[State_Code]],Territory_by_Code[],2)</f>
        <v>Kentucky</v>
      </c>
      <c r="C1073" t="s">
        <v>761</v>
      </c>
      <c r="D1073">
        <v>62613</v>
      </c>
      <c r="E1073">
        <v>436</v>
      </c>
    </row>
    <row r="1074" spans="1:5" x14ac:dyDescent="0.25">
      <c r="A1074" t="s">
        <v>728</v>
      </c>
      <c r="B1074" t="str">
        <f>VLOOKUP(Counties_by_State_Code[[#This Row],[State_Code]],Territory_by_Code[],2)</f>
        <v>Kentucky</v>
      </c>
      <c r="C1074" t="s">
        <v>40</v>
      </c>
      <c r="D1074">
        <v>16293</v>
      </c>
      <c r="E1074">
        <v>419</v>
      </c>
    </row>
    <row r="1075" spans="1:5" x14ac:dyDescent="0.25">
      <c r="A1075" t="s">
        <v>728</v>
      </c>
      <c r="B1075" t="str">
        <f>VLOOKUP(Counties_by_State_Code[[#This Row],[State_Code]],Territory_by_Code[],2)</f>
        <v>Kentucky</v>
      </c>
      <c r="C1075" t="s">
        <v>41</v>
      </c>
      <c r="D1075">
        <v>7395</v>
      </c>
      <c r="E1075">
        <v>210</v>
      </c>
    </row>
    <row r="1076" spans="1:5" x14ac:dyDescent="0.25">
      <c r="A1076" t="s">
        <v>728</v>
      </c>
      <c r="B1076" t="str">
        <f>VLOOKUP(Counties_by_State_Code[[#This Row],[State_Code]],Territory_by_Code[],2)</f>
        <v>Kentucky</v>
      </c>
      <c r="C1076" t="s">
        <v>762</v>
      </c>
      <c r="D1076">
        <v>10513</v>
      </c>
      <c r="E1076">
        <v>404</v>
      </c>
    </row>
    <row r="1077" spans="1:5" x14ac:dyDescent="0.25">
      <c r="A1077" t="s">
        <v>728</v>
      </c>
      <c r="B1077" t="str">
        <f>VLOOKUP(Counties_by_State_Code[[#This Row],[State_Code]],Territory_by_Code[],2)</f>
        <v>Kentucky</v>
      </c>
      <c r="C1077" t="s">
        <v>763</v>
      </c>
      <c r="D1077">
        <v>21548</v>
      </c>
      <c r="E1077">
        <v>339</v>
      </c>
    </row>
    <row r="1078" spans="1:5" x14ac:dyDescent="0.25">
      <c r="A1078" t="s">
        <v>728</v>
      </c>
      <c r="B1078" t="str">
        <f>VLOOKUP(Counties_by_State_Code[[#This Row],[State_Code]],Territory_by_Code[],2)</f>
        <v>Kentucky</v>
      </c>
      <c r="C1078" t="s">
        <v>506</v>
      </c>
      <c r="D1078">
        <v>13080</v>
      </c>
      <c r="E1078">
        <v>484</v>
      </c>
    </row>
    <row r="1079" spans="1:5" x14ac:dyDescent="0.25">
      <c r="A1079" t="s">
        <v>728</v>
      </c>
      <c r="B1079" t="str">
        <f>VLOOKUP(Counties_by_State_Code[[#This Row],[State_Code]],Territory_by_Code[],2)</f>
        <v>Kentucky</v>
      </c>
      <c r="C1079" t="s">
        <v>151</v>
      </c>
      <c r="D1079">
        <v>24275</v>
      </c>
      <c r="E1079">
        <v>337</v>
      </c>
    </row>
    <row r="1080" spans="1:5" x14ac:dyDescent="0.25">
      <c r="A1080" t="s">
        <v>728</v>
      </c>
      <c r="B1080" t="str">
        <f>VLOOKUP(Counties_by_State_Code[[#This Row],[State_Code]],Territory_by_Code[],2)</f>
        <v>Kentucky</v>
      </c>
      <c r="C1080" t="s">
        <v>545</v>
      </c>
      <c r="D1080">
        <v>8888</v>
      </c>
      <c r="E1080">
        <v>316</v>
      </c>
    </row>
    <row r="1081" spans="1:5" x14ac:dyDescent="0.25">
      <c r="A1081" t="s">
        <v>728</v>
      </c>
      <c r="B1081" t="str">
        <f>VLOOKUP(Counties_by_State_Code[[#This Row],[State_Code]],Territory_by_Code[],2)</f>
        <v>Kentucky</v>
      </c>
      <c r="C1081" t="s">
        <v>153</v>
      </c>
      <c r="D1081">
        <v>27432</v>
      </c>
      <c r="E1081">
        <v>556</v>
      </c>
    </row>
    <row r="1082" spans="1:5" x14ac:dyDescent="0.25">
      <c r="A1082" t="s">
        <v>728</v>
      </c>
      <c r="B1082" t="str">
        <f>VLOOKUP(Counties_by_State_Code[[#This Row],[State_Code]],Territory_by_Code[],2)</f>
        <v>Kentucky</v>
      </c>
      <c r="C1082" t="s">
        <v>639</v>
      </c>
      <c r="D1082">
        <v>8680</v>
      </c>
      <c r="E1082">
        <v>216</v>
      </c>
    </row>
    <row r="1083" spans="1:5" x14ac:dyDescent="0.25">
      <c r="A1083" t="s">
        <v>728</v>
      </c>
      <c r="B1083" t="str">
        <f>VLOOKUP(Counties_by_State_Code[[#This Row],[State_Code]],Territory_by_Code[],2)</f>
        <v>Kentucky</v>
      </c>
      <c r="C1083" t="s">
        <v>45</v>
      </c>
      <c r="D1083">
        <v>92701</v>
      </c>
      <c r="E1083">
        <v>441</v>
      </c>
    </row>
    <row r="1084" spans="1:5" x14ac:dyDescent="0.25">
      <c r="A1084" t="s">
        <v>728</v>
      </c>
      <c r="B1084" t="str">
        <f>VLOOKUP(Counties_by_State_Code[[#This Row],[State_Code]],Territory_by_Code[],2)</f>
        <v>Kentucky</v>
      </c>
      <c r="C1084" t="s">
        <v>764</v>
      </c>
      <c r="D1084">
        <v>11637</v>
      </c>
      <c r="E1084">
        <v>310</v>
      </c>
    </row>
    <row r="1085" spans="1:5" x14ac:dyDescent="0.25">
      <c r="A1085" t="s">
        <v>728</v>
      </c>
      <c r="B1085" t="str">
        <f>VLOOKUP(Counties_by_State_Code[[#This Row],[State_Code]],Territory_by_Code[],2)</f>
        <v>Kentucky</v>
      </c>
      <c r="C1085" t="s">
        <v>47</v>
      </c>
      <c r="D1085">
        <v>19581</v>
      </c>
      <c r="E1085">
        <v>347</v>
      </c>
    </row>
    <row r="1086" spans="1:5" x14ac:dyDescent="0.25">
      <c r="A1086" t="s">
        <v>728</v>
      </c>
      <c r="B1086" t="str">
        <f>VLOOKUP(Counties_by_State_Code[[#This Row],[State_Code]],Territory_by_Code[],2)</f>
        <v>Kentucky</v>
      </c>
      <c r="C1086" t="s">
        <v>48</v>
      </c>
      <c r="D1086">
        <v>31659</v>
      </c>
      <c r="E1086">
        <v>305</v>
      </c>
    </row>
    <row r="1087" spans="1:5" x14ac:dyDescent="0.25">
      <c r="A1087" t="s">
        <v>728</v>
      </c>
      <c r="B1087" t="str">
        <f>VLOOKUP(Counties_by_State_Code[[#This Row],[State_Code]],Territory_by_Code[],2)</f>
        <v>Kentucky</v>
      </c>
      <c r="C1087" t="s">
        <v>346</v>
      </c>
      <c r="D1087">
        <v>11287</v>
      </c>
      <c r="E1087">
        <v>231</v>
      </c>
    </row>
    <row r="1088" spans="1:5" x14ac:dyDescent="0.25">
      <c r="A1088" t="s">
        <v>728</v>
      </c>
      <c r="B1088" t="str">
        <f>VLOOKUP(Counties_by_State_Code[[#This Row],[State_Code]],Territory_by_Code[],2)</f>
        <v>Kentucky</v>
      </c>
      <c r="C1088" t="s">
        <v>547</v>
      </c>
      <c r="D1088">
        <v>17120</v>
      </c>
      <c r="E1088">
        <v>241</v>
      </c>
    </row>
    <row r="1089" spans="1:5" x14ac:dyDescent="0.25">
      <c r="A1089" t="s">
        <v>728</v>
      </c>
      <c r="B1089" t="str">
        <f>VLOOKUP(Counties_by_State_Code[[#This Row],[State_Code]],Territory_by_Code[],2)</f>
        <v>Kentucky</v>
      </c>
      <c r="C1089" t="s">
        <v>765</v>
      </c>
      <c r="D1089">
        <v>67875</v>
      </c>
      <c r="E1089">
        <v>251</v>
      </c>
    </row>
    <row r="1090" spans="1:5" x14ac:dyDescent="0.25">
      <c r="A1090" t="s">
        <v>728</v>
      </c>
      <c r="B1090" t="str">
        <f>VLOOKUP(Counties_by_State_Code[[#This Row],[State_Code]],Territory_by_Code[],2)</f>
        <v>Kentucky</v>
      </c>
      <c r="C1090" t="s">
        <v>766</v>
      </c>
      <c r="D1090">
        <v>16888</v>
      </c>
      <c r="E1090">
        <v>428</v>
      </c>
    </row>
    <row r="1091" spans="1:5" x14ac:dyDescent="0.25">
      <c r="A1091" t="s">
        <v>728</v>
      </c>
      <c r="B1091" t="str">
        <f>VLOOKUP(Counties_by_State_Code[[#This Row],[State_Code]],Territory_by_Code[],2)</f>
        <v>Kentucky</v>
      </c>
      <c r="C1091" t="s">
        <v>551</v>
      </c>
      <c r="D1091">
        <v>9152</v>
      </c>
      <c r="E1091">
        <v>254</v>
      </c>
    </row>
    <row r="1092" spans="1:5" x14ac:dyDescent="0.25">
      <c r="A1092" t="s">
        <v>728</v>
      </c>
      <c r="B1092" t="str">
        <f>VLOOKUP(Counties_by_State_Code[[#This Row],[State_Code]],Territory_by_Code[],2)</f>
        <v>Kentucky</v>
      </c>
      <c r="C1092" t="s">
        <v>693</v>
      </c>
      <c r="D1092">
        <v>30003</v>
      </c>
      <c r="E1092">
        <v>308</v>
      </c>
    </row>
    <row r="1093" spans="1:5" x14ac:dyDescent="0.25">
      <c r="A1093" t="s">
        <v>728</v>
      </c>
      <c r="B1093" t="str">
        <f>VLOOKUP(Counties_by_State_Code[[#This Row],[State_Code]],Territory_by_Code[],2)</f>
        <v>Kentucky</v>
      </c>
      <c r="C1093" t="s">
        <v>767</v>
      </c>
      <c r="D1093">
        <v>6113</v>
      </c>
      <c r="E1093">
        <v>204</v>
      </c>
    </row>
    <row r="1094" spans="1:5" x14ac:dyDescent="0.25">
      <c r="A1094" t="s">
        <v>728</v>
      </c>
      <c r="B1094" t="str">
        <f>VLOOKUP(Counties_by_State_Code[[#This Row],[State_Code]],Territory_by_Code[],2)</f>
        <v>Kentucky</v>
      </c>
      <c r="C1094" t="s">
        <v>553</v>
      </c>
      <c r="D1094">
        <v>22641</v>
      </c>
      <c r="E1094">
        <v>251</v>
      </c>
    </row>
    <row r="1095" spans="1:5" x14ac:dyDescent="0.25">
      <c r="A1095" t="s">
        <v>728</v>
      </c>
      <c r="B1095" t="str">
        <f>VLOOKUP(Counties_by_State_Code[[#This Row],[State_Code]],Territory_by_Code[],2)</f>
        <v>Kentucky</v>
      </c>
      <c r="C1095" t="s">
        <v>768</v>
      </c>
      <c r="D1095">
        <v>10286</v>
      </c>
      <c r="E1095">
        <v>291</v>
      </c>
    </row>
    <row r="1096" spans="1:5" x14ac:dyDescent="0.25">
      <c r="A1096" t="s">
        <v>728</v>
      </c>
      <c r="B1096" t="str">
        <f>VLOOKUP(Counties_by_State_Code[[#This Row],[State_Code]],Territory_by_Code[],2)</f>
        <v>Kentucky</v>
      </c>
      <c r="C1096" t="s">
        <v>50</v>
      </c>
      <c r="D1096">
        <v>11338</v>
      </c>
      <c r="E1096">
        <v>331</v>
      </c>
    </row>
    <row r="1097" spans="1:5" x14ac:dyDescent="0.25">
      <c r="A1097" t="s">
        <v>728</v>
      </c>
      <c r="B1097" t="str">
        <f>VLOOKUP(Counties_by_State_Code[[#This Row],[State_Code]],Territory_by_Code[],2)</f>
        <v>Kentucky</v>
      </c>
      <c r="C1097" t="s">
        <v>51</v>
      </c>
      <c r="D1097">
        <v>28114</v>
      </c>
      <c r="E1097">
        <v>199</v>
      </c>
    </row>
    <row r="1098" spans="1:5" x14ac:dyDescent="0.25">
      <c r="A1098" t="s">
        <v>728</v>
      </c>
      <c r="B1098" t="str">
        <f>VLOOKUP(Counties_by_State_Code[[#This Row],[State_Code]],Territory_by_Code[],2)</f>
        <v>Kentucky</v>
      </c>
      <c r="C1098" t="s">
        <v>52</v>
      </c>
      <c r="D1098">
        <v>13726</v>
      </c>
      <c r="E1098">
        <v>381</v>
      </c>
    </row>
    <row r="1099" spans="1:5" x14ac:dyDescent="0.25">
      <c r="A1099" t="s">
        <v>728</v>
      </c>
      <c r="B1099" t="str">
        <f>VLOOKUP(Counties_by_State_Code[[#This Row],[State_Code]],Territory_by_Code[],2)</f>
        <v>Kentucky</v>
      </c>
      <c r="C1099" t="s">
        <v>769</v>
      </c>
      <c r="D1099">
        <v>30928</v>
      </c>
      <c r="E1099">
        <v>475</v>
      </c>
    </row>
    <row r="1100" spans="1:5" x14ac:dyDescent="0.25">
      <c r="A1100" t="s">
        <v>728</v>
      </c>
      <c r="B1100" t="str">
        <f>VLOOKUP(Counties_by_State_Code[[#This Row],[State_Code]],Territory_by_Code[],2)</f>
        <v>Kentucky</v>
      </c>
      <c r="C1100" t="s">
        <v>770</v>
      </c>
      <c r="D1100">
        <v>46738</v>
      </c>
      <c r="E1100">
        <v>423</v>
      </c>
    </row>
    <row r="1101" spans="1:5" x14ac:dyDescent="0.25">
      <c r="A1101" t="s">
        <v>728</v>
      </c>
      <c r="B1101" t="str">
        <f>VLOOKUP(Counties_by_State_Code[[#This Row],[State_Code]],Territory_by_Code[],2)</f>
        <v>Kentucky</v>
      </c>
      <c r="C1101" t="s">
        <v>771</v>
      </c>
      <c r="D1101">
        <v>7537</v>
      </c>
      <c r="E1101">
        <v>197</v>
      </c>
    </row>
    <row r="1102" spans="1:5" x14ac:dyDescent="0.25">
      <c r="A1102" t="s">
        <v>728</v>
      </c>
      <c r="B1102" t="str">
        <f>VLOOKUP(Counties_by_State_Code[[#This Row],[State_Code]],Territory_by_Code[],2)</f>
        <v>Kentucky</v>
      </c>
      <c r="C1102" t="s">
        <v>593</v>
      </c>
      <c r="D1102">
        <v>23772</v>
      </c>
      <c r="E1102">
        <v>594</v>
      </c>
    </row>
    <row r="1103" spans="1:5" x14ac:dyDescent="0.25">
      <c r="A1103" t="s">
        <v>728</v>
      </c>
      <c r="B1103" t="str">
        <f>VLOOKUP(Counties_by_State_Code[[#This Row],[State_Code]],Territory_by_Code[],2)</f>
        <v>Kentucky</v>
      </c>
      <c r="C1103" t="s">
        <v>772</v>
      </c>
      <c r="D1103">
        <v>67607</v>
      </c>
      <c r="E1103">
        <v>189</v>
      </c>
    </row>
    <row r="1104" spans="1:5" x14ac:dyDescent="0.25">
      <c r="A1104" t="s">
        <v>728</v>
      </c>
      <c r="B1104" t="str">
        <f>VLOOKUP(Counties_by_State_Code[[#This Row],[State_Code]],Territory_by_Code[],2)</f>
        <v>Kentucky</v>
      </c>
      <c r="C1104" t="s">
        <v>594</v>
      </c>
      <c r="D1104">
        <v>11278</v>
      </c>
      <c r="E1104">
        <v>352</v>
      </c>
    </row>
    <row r="1105" spans="1:5" x14ac:dyDescent="0.25">
      <c r="A1105" t="s">
        <v>728</v>
      </c>
      <c r="B1105" t="str">
        <f>VLOOKUP(Counties_by_State_Code[[#This Row],[State_Code]],Territory_by_Code[],2)</f>
        <v>Kentucky</v>
      </c>
      <c r="C1105" t="s">
        <v>773</v>
      </c>
      <c r="D1105">
        <v>4051</v>
      </c>
      <c r="E1105">
        <v>198</v>
      </c>
    </row>
    <row r="1106" spans="1:5" x14ac:dyDescent="0.25">
      <c r="A1106" t="s">
        <v>728</v>
      </c>
      <c r="B1106" t="str">
        <f>VLOOKUP(Counties_by_State_Code[[#This Row],[State_Code]],Territory_by_Code[],2)</f>
        <v>Kentucky</v>
      </c>
      <c r="C1106" t="s">
        <v>774</v>
      </c>
      <c r="D1106">
        <v>14644</v>
      </c>
      <c r="E1106">
        <v>280</v>
      </c>
    </row>
    <row r="1107" spans="1:5" x14ac:dyDescent="0.25">
      <c r="A1107" t="s">
        <v>728</v>
      </c>
      <c r="B1107" t="str">
        <f>VLOOKUP(Counties_by_State_Code[[#This Row],[State_Code]],Territory_by_Code[],2)</f>
        <v>Kentucky</v>
      </c>
      <c r="C1107" t="s">
        <v>53</v>
      </c>
      <c r="D1107">
        <v>28473</v>
      </c>
      <c r="E1107">
        <v>342</v>
      </c>
    </row>
    <row r="1108" spans="1:5" x14ac:dyDescent="0.25">
      <c r="A1108" t="s">
        <v>728</v>
      </c>
      <c r="B1108" t="str">
        <f>VLOOKUP(Counties_by_State_Code[[#This Row],[State_Code]],Territory_by_Code[],2)</f>
        <v>Kentucky</v>
      </c>
      <c r="C1108" t="s">
        <v>55</v>
      </c>
      <c r="D1108">
        <v>58669</v>
      </c>
      <c r="E1108">
        <v>788</v>
      </c>
    </row>
    <row r="1109" spans="1:5" x14ac:dyDescent="0.25">
      <c r="A1109" t="s">
        <v>728</v>
      </c>
      <c r="B1109" t="str">
        <f>VLOOKUP(Counties_by_State_Code[[#This Row],[State_Code]],Territory_by_Code[],2)</f>
        <v>Kentucky</v>
      </c>
      <c r="C1109" t="s">
        <v>775</v>
      </c>
      <c r="D1109">
        <v>13129</v>
      </c>
      <c r="E1109">
        <v>180</v>
      </c>
    </row>
    <row r="1110" spans="1:5" x14ac:dyDescent="0.25">
      <c r="A1110" t="s">
        <v>728</v>
      </c>
      <c r="B1110" t="str">
        <f>VLOOKUP(Counties_by_State_Code[[#This Row],[State_Code]],Territory_by_Code[],2)</f>
        <v>Kentucky</v>
      </c>
      <c r="C1110" t="s">
        <v>165</v>
      </c>
      <c r="D1110">
        <v>65034</v>
      </c>
      <c r="E1110">
        <v>662</v>
      </c>
    </row>
    <row r="1111" spans="1:5" x14ac:dyDescent="0.25">
      <c r="A1111" t="s">
        <v>728</v>
      </c>
      <c r="B1111" t="str">
        <f>VLOOKUP(Counties_by_State_Code[[#This Row],[State_Code]],Territory_by_Code[],2)</f>
        <v>Kentucky</v>
      </c>
      <c r="C1111" t="s">
        <v>776</v>
      </c>
      <c r="D1111">
        <v>2193</v>
      </c>
      <c r="E1111">
        <v>100</v>
      </c>
    </row>
    <row r="1112" spans="1:5" x14ac:dyDescent="0.25">
      <c r="A1112" t="s">
        <v>728</v>
      </c>
      <c r="B1112" t="str">
        <f>VLOOKUP(Counties_by_State_Code[[#This Row],[State_Code]],Territory_by_Code[],2)</f>
        <v>Kentucky</v>
      </c>
      <c r="C1112" t="s">
        <v>777</v>
      </c>
      <c r="D1112">
        <v>16037</v>
      </c>
      <c r="E1112">
        <v>318</v>
      </c>
    </row>
    <row r="1113" spans="1:5" x14ac:dyDescent="0.25">
      <c r="A1113" t="s">
        <v>728</v>
      </c>
      <c r="B1113" t="str">
        <f>VLOOKUP(Counties_by_State_Code[[#This Row],[State_Code]],Territory_by_Code[],2)</f>
        <v>Kentucky</v>
      </c>
      <c r="C1113" t="s">
        <v>778</v>
      </c>
      <c r="D1113">
        <v>24662</v>
      </c>
      <c r="E1113">
        <v>281</v>
      </c>
    </row>
    <row r="1114" spans="1:5" x14ac:dyDescent="0.25">
      <c r="A1114" t="s">
        <v>728</v>
      </c>
      <c r="B1114" t="str">
        <f>VLOOKUP(Counties_by_State_Code[[#This Row],[State_Code]],Territory_by_Code[],2)</f>
        <v>Kentucky</v>
      </c>
      <c r="C1114" t="s">
        <v>57</v>
      </c>
      <c r="D1114">
        <v>17991</v>
      </c>
      <c r="E1114">
        <v>254</v>
      </c>
    </row>
    <row r="1115" spans="1:5" x14ac:dyDescent="0.25">
      <c r="A1115" t="s">
        <v>728</v>
      </c>
      <c r="B1115" t="str">
        <f>VLOOKUP(Counties_by_State_Code[[#This Row],[State_Code]],Territory_by_Code[],2)</f>
        <v>Kentucky</v>
      </c>
      <c r="C1115" t="s">
        <v>168</v>
      </c>
      <c r="D1115">
        <v>57155</v>
      </c>
      <c r="E1115">
        <v>285</v>
      </c>
    </row>
    <row r="1116" spans="1:5" x14ac:dyDescent="0.25">
      <c r="A1116" t="s">
        <v>728</v>
      </c>
      <c r="B1116" t="str">
        <f>VLOOKUP(Counties_by_State_Code[[#This Row],[State_Code]],Territory_by_Code[],2)</f>
        <v>Kentucky</v>
      </c>
      <c r="C1116" t="s">
        <v>58</v>
      </c>
      <c r="D1116">
        <v>48065</v>
      </c>
      <c r="E1116">
        <v>384</v>
      </c>
    </row>
    <row r="1117" spans="1:5" x14ac:dyDescent="0.25">
      <c r="A1117" t="s">
        <v>728</v>
      </c>
      <c r="B1117" t="str">
        <f>VLOOKUP(Counties_by_State_Code[[#This Row],[State_Code]],Territory_by_Code[],2)</f>
        <v>Kentucky</v>
      </c>
      <c r="C1117" t="s">
        <v>779</v>
      </c>
      <c r="D1117">
        <v>19594</v>
      </c>
      <c r="E1117">
        <v>236</v>
      </c>
    </row>
    <row r="1118" spans="1:5" x14ac:dyDescent="0.25">
      <c r="A1118" t="s">
        <v>728</v>
      </c>
      <c r="B1118" t="str">
        <f>VLOOKUP(Counties_by_State_Code[[#This Row],[State_Code]],Territory_by_Code[],2)</f>
        <v>Kentucky</v>
      </c>
      <c r="C1118" t="s">
        <v>601</v>
      </c>
      <c r="D1118">
        <v>19490</v>
      </c>
      <c r="E1118">
        <v>186</v>
      </c>
    </row>
    <row r="1119" spans="1:5" x14ac:dyDescent="0.25">
      <c r="A1119" t="s">
        <v>728</v>
      </c>
      <c r="B1119" t="str">
        <f>VLOOKUP(Counties_by_State_Code[[#This Row],[State_Code]],Territory_by_Code[],2)</f>
        <v>Kentucky</v>
      </c>
      <c r="C1119" t="s">
        <v>362</v>
      </c>
      <c r="D1119">
        <v>26023</v>
      </c>
      <c r="E1119">
        <v>270</v>
      </c>
    </row>
    <row r="1120" spans="1:5" x14ac:dyDescent="0.25">
      <c r="A1120" t="s">
        <v>728</v>
      </c>
      <c r="B1120" t="str">
        <f>VLOOKUP(Counties_by_State_Code[[#This Row],[State_Code]],Territory_by_Code[],2)</f>
        <v>Kentucky</v>
      </c>
      <c r="C1120" t="s">
        <v>780</v>
      </c>
      <c r="D1120">
        <v>12243</v>
      </c>
      <c r="E1120">
        <v>376</v>
      </c>
    </row>
    <row r="1121" spans="1:5" x14ac:dyDescent="0.25">
      <c r="A1121" t="s">
        <v>728</v>
      </c>
      <c r="B1121" t="str">
        <f>VLOOKUP(Counties_by_State_Code[[#This Row],[State_Code]],Territory_by_Code[],2)</f>
        <v>Kentucky</v>
      </c>
      <c r="C1121" t="s">
        <v>781</v>
      </c>
      <c r="D1121">
        <v>14061</v>
      </c>
      <c r="E1121">
        <v>443</v>
      </c>
    </row>
    <row r="1122" spans="1:5" x14ac:dyDescent="0.25">
      <c r="A1122" t="s">
        <v>728</v>
      </c>
      <c r="B1122" t="str">
        <f>VLOOKUP(Counties_by_State_Code[[#This Row],[State_Code]],Territory_by_Code[],2)</f>
        <v>Kentucky</v>
      </c>
      <c r="C1122" t="s">
        <v>782</v>
      </c>
      <c r="D1122">
        <v>8474</v>
      </c>
      <c r="E1122">
        <v>149</v>
      </c>
    </row>
    <row r="1123" spans="1:5" x14ac:dyDescent="0.25">
      <c r="A1123" t="s">
        <v>728</v>
      </c>
      <c r="B1123" t="str">
        <f>VLOOKUP(Counties_by_State_Code[[#This Row],[State_Code]],Territory_by_Code[],2)</f>
        <v>Kentucky</v>
      </c>
      <c r="C1123" t="s">
        <v>174</v>
      </c>
      <c r="D1123">
        <v>13668</v>
      </c>
      <c r="E1123">
        <v>345</v>
      </c>
    </row>
    <row r="1124" spans="1:5" x14ac:dyDescent="0.25">
      <c r="A1124" t="s">
        <v>728</v>
      </c>
      <c r="B1124" t="str">
        <f>VLOOKUP(Counties_by_State_Code[[#This Row],[State_Code]],Territory_by_Code[],2)</f>
        <v>Kentucky</v>
      </c>
      <c r="C1124" t="s">
        <v>467</v>
      </c>
      <c r="D1124">
        <v>134554</v>
      </c>
      <c r="E1124">
        <v>545</v>
      </c>
    </row>
    <row r="1125" spans="1:5" x14ac:dyDescent="0.25">
      <c r="A1125" t="s">
        <v>728</v>
      </c>
      <c r="B1125" t="str">
        <f>VLOOKUP(Counties_by_State_Code[[#This Row],[State_Code]],Territory_by_Code[],2)</f>
        <v>Kentucky</v>
      </c>
      <c r="C1125" t="s">
        <v>65</v>
      </c>
      <c r="D1125">
        <v>12027</v>
      </c>
      <c r="E1125">
        <v>301</v>
      </c>
    </row>
    <row r="1126" spans="1:5" x14ac:dyDescent="0.25">
      <c r="A1126" t="s">
        <v>728</v>
      </c>
      <c r="B1126" t="str">
        <f>VLOOKUP(Counties_by_State_Code[[#This Row],[State_Code]],Territory_by_Code[],2)</f>
        <v>Kentucky</v>
      </c>
      <c r="C1126" t="s">
        <v>468</v>
      </c>
      <c r="D1126">
        <v>19555</v>
      </c>
      <c r="E1126">
        <v>459</v>
      </c>
    </row>
    <row r="1127" spans="1:5" x14ac:dyDescent="0.25">
      <c r="A1127" t="s">
        <v>728</v>
      </c>
      <c r="B1127" t="str">
        <f>VLOOKUP(Counties_by_State_Code[[#This Row],[State_Code]],Territory_by_Code[],2)</f>
        <v>Kentucky</v>
      </c>
      <c r="C1127" t="s">
        <v>469</v>
      </c>
      <c r="D1127">
        <v>13017</v>
      </c>
      <c r="E1127">
        <v>335</v>
      </c>
    </row>
    <row r="1128" spans="1:5" x14ac:dyDescent="0.25">
      <c r="A1128" t="s">
        <v>728</v>
      </c>
      <c r="B1128" t="str">
        <f>VLOOKUP(Counties_by_State_Code[[#This Row],[State_Code]],Territory_by_Code[],2)</f>
        <v>Kentucky</v>
      </c>
      <c r="C1128" t="s">
        <v>613</v>
      </c>
      <c r="D1128">
        <v>36712</v>
      </c>
      <c r="E1128">
        <v>440</v>
      </c>
    </row>
    <row r="1129" spans="1:5" x14ac:dyDescent="0.25">
      <c r="A1129" t="s">
        <v>728</v>
      </c>
      <c r="B1129" t="str">
        <f>VLOOKUP(Counties_by_State_Code[[#This Row],[State_Code]],Territory_by_Code[],2)</f>
        <v>Kentucky</v>
      </c>
      <c r="C1129" t="s">
        <v>783</v>
      </c>
      <c r="D1129">
        <v>6562</v>
      </c>
      <c r="E1129">
        <v>223</v>
      </c>
    </row>
    <row r="1130" spans="1:5" x14ac:dyDescent="0.25">
      <c r="A1130" t="s">
        <v>728</v>
      </c>
      <c r="B1130" t="str">
        <f>VLOOKUP(Counties_by_State_Code[[#This Row],[State_Code]],Territory_by_Code[],2)</f>
        <v>Kentucky</v>
      </c>
      <c r="C1130" t="s">
        <v>571</v>
      </c>
      <c r="D1130">
        <v>26871</v>
      </c>
      <c r="E1130">
        <v>191</v>
      </c>
    </row>
    <row r="1131" spans="1:5" x14ac:dyDescent="0.25">
      <c r="A1131" t="s">
        <v>785</v>
      </c>
      <c r="B1131" t="str">
        <f>VLOOKUP(Counties_by_State_Code[[#This Row],[State_Code]],Territory_by_Code[],2)</f>
        <v>Louisiana</v>
      </c>
      <c r="C1131" t="s">
        <v>784</v>
      </c>
      <c r="D1131">
        <v>57576</v>
      </c>
      <c r="E1131">
        <v>658</v>
      </c>
    </row>
    <row r="1132" spans="1:5" x14ac:dyDescent="0.25">
      <c r="A1132" t="s">
        <v>785</v>
      </c>
      <c r="B1132" t="str">
        <f>VLOOKUP(Counties_by_State_Code[[#This Row],[State_Code]],Territory_by_Code[],2)</f>
        <v>Louisiana</v>
      </c>
      <c r="C1132" t="s">
        <v>573</v>
      </c>
      <c r="D1132">
        <v>22750</v>
      </c>
      <c r="E1132">
        <v>766</v>
      </c>
    </row>
    <row r="1133" spans="1:5" x14ac:dyDescent="0.25">
      <c r="A1133" t="s">
        <v>785</v>
      </c>
      <c r="B1133" t="str">
        <f>VLOOKUP(Counties_by_State_Code[[#This Row],[State_Code]],Territory_by_Code[],2)</f>
        <v>Louisiana</v>
      </c>
      <c r="C1133" t="s">
        <v>786</v>
      </c>
      <c r="D1133">
        <v>126500</v>
      </c>
      <c r="E1133">
        <v>303</v>
      </c>
    </row>
    <row r="1134" spans="1:5" x14ac:dyDescent="0.25">
      <c r="A1134" t="s">
        <v>785</v>
      </c>
      <c r="B1134" t="str">
        <f>VLOOKUP(Counties_by_State_Code[[#This Row],[State_Code]],Territory_by_Code[],2)</f>
        <v>Louisiana</v>
      </c>
      <c r="C1134" t="s">
        <v>787</v>
      </c>
      <c r="D1134">
        <v>21039</v>
      </c>
      <c r="E1134">
        <v>364</v>
      </c>
    </row>
    <row r="1135" spans="1:5" x14ac:dyDescent="0.25">
      <c r="A1135" t="s">
        <v>785</v>
      </c>
      <c r="B1135" t="str">
        <f>VLOOKUP(Counties_by_State_Code[[#This Row],[State_Code]],Territory_by_Code[],2)</f>
        <v>Louisiana</v>
      </c>
      <c r="C1135" t="s">
        <v>788</v>
      </c>
      <c r="D1135">
        <v>39693</v>
      </c>
      <c r="E1135">
        <v>866</v>
      </c>
    </row>
    <row r="1136" spans="1:5" x14ac:dyDescent="0.25">
      <c r="A1136" t="s">
        <v>785</v>
      </c>
      <c r="B1136" t="str">
        <f>VLOOKUP(Counties_by_State_Code[[#This Row],[State_Code]],Territory_by_Code[],2)</f>
        <v>Louisiana</v>
      </c>
      <c r="C1136" t="s">
        <v>789</v>
      </c>
      <c r="D1136">
        <v>36549</v>
      </c>
      <c r="E1136">
        <v>1166</v>
      </c>
    </row>
    <row r="1137" spans="1:5" x14ac:dyDescent="0.25">
      <c r="A1137" t="s">
        <v>785</v>
      </c>
      <c r="B1137" t="str">
        <f>VLOOKUP(Counties_by_State_Code[[#This Row],[State_Code]],Territory_by_Code[],2)</f>
        <v>Louisiana</v>
      </c>
      <c r="C1137" t="s">
        <v>790</v>
      </c>
      <c r="D1137">
        <v>12981</v>
      </c>
      <c r="E1137">
        <v>822</v>
      </c>
    </row>
    <row r="1138" spans="1:5" x14ac:dyDescent="0.25">
      <c r="A1138" t="s">
        <v>785</v>
      </c>
      <c r="B1138" t="str">
        <f>VLOOKUP(Counties_by_State_Code[[#This Row],[State_Code]],Territory_by_Code[],2)</f>
        <v>Louisiana</v>
      </c>
      <c r="C1138" t="s">
        <v>791</v>
      </c>
      <c r="D1138">
        <v>128746</v>
      </c>
      <c r="E1138">
        <v>867</v>
      </c>
    </row>
    <row r="1139" spans="1:5" x14ac:dyDescent="0.25">
      <c r="A1139" t="s">
        <v>785</v>
      </c>
      <c r="B1139" t="str">
        <f>VLOOKUP(Counties_by_State_Code[[#This Row],[State_Code]],Territory_by_Code[],2)</f>
        <v>Louisiana</v>
      </c>
      <c r="C1139" t="s">
        <v>792</v>
      </c>
      <c r="D1139">
        <v>237848</v>
      </c>
      <c r="E1139">
        <v>937</v>
      </c>
    </row>
    <row r="1140" spans="1:5" x14ac:dyDescent="0.25">
      <c r="A1140" t="s">
        <v>785</v>
      </c>
      <c r="B1140" t="str">
        <f>VLOOKUP(Counties_by_State_Code[[#This Row],[State_Code]],Territory_by_Code[],2)</f>
        <v>Louisiana</v>
      </c>
      <c r="C1140" t="s">
        <v>793</v>
      </c>
      <c r="D1140">
        <v>216785</v>
      </c>
      <c r="E1140">
        <v>1094</v>
      </c>
    </row>
    <row r="1141" spans="1:5" x14ac:dyDescent="0.25">
      <c r="A1141" t="s">
        <v>785</v>
      </c>
      <c r="B1141" t="str">
        <f>VLOOKUP(Counties_by_State_Code[[#This Row],[State_Code]],Territory_by_Code[],2)</f>
        <v>Louisiana</v>
      </c>
      <c r="C1141" t="s">
        <v>739</v>
      </c>
      <c r="D1141">
        <v>9645</v>
      </c>
      <c r="E1141">
        <v>541</v>
      </c>
    </row>
    <row r="1142" spans="1:5" x14ac:dyDescent="0.25">
      <c r="A1142" t="s">
        <v>785</v>
      </c>
      <c r="B1142" t="str">
        <f>VLOOKUP(Counties_by_State_Code[[#This Row],[State_Code]],Territory_by_Code[],2)</f>
        <v>Louisiana</v>
      </c>
      <c r="C1142" t="s">
        <v>794</v>
      </c>
      <c r="D1142">
        <v>5617</v>
      </c>
      <c r="E1142">
        <v>1932</v>
      </c>
    </row>
    <row r="1143" spans="1:5" x14ac:dyDescent="0.25">
      <c r="A1143" t="s">
        <v>785</v>
      </c>
      <c r="B1143" t="str">
        <f>VLOOKUP(Counties_by_State_Code[[#This Row],[State_Code]],Territory_by_Code[],2)</f>
        <v>Louisiana</v>
      </c>
      <c r="C1143" t="s">
        <v>795</v>
      </c>
      <c r="D1143">
        <v>8906</v>
      </c>
      <c r="E1143">
        <v>739</v>
      </c>
    </row>
    <row r="1144" spans="1:5" x14ac:dyDescent="0.25">
      <c r="A1144" t="s">
        <v>785</v>
      </c>
      <c r="B1144" t="str">
        <f>VLOOKUP(Counties_by_State_Code[[#This Row],[State_Code]],Territory_by_Code[],2)</f>
        <v>Louisiana</v>
      </c>
      <c r="C1144" t="s">
        <v>796</v>
      </c>
      <c r="D1144">
        <v>14170</v>
      </c>
      <c r="E1144">
        <v>768</v>
      </c>
    </row>
    <row r="1145" spans="1:5" x14ac:dyDescent="0.25">
      <c r="A1145" t="s">
        <v>785</v>
      </c>
      <c r="B1145" t="str">
        <f>VLOOKUP(Counties_by_State_Code[[#This Row],[State_Code]],Territory_by_Code[],2)</f>
        <v>Louisiana</v>
      </c>
      <c r="C1145" t="s">
        <v>797</v>
      </c>
      <c r="D1145">
        <v>18687</v>
      </c>
      <c r="E1145">
        <v>749</v>
      </c>
    </row>
    <row r="1146" spans="1:5" x14ac:dyDescent="0.25">
      <c r="A1146" t="s">
        <v>785</v>
      </c>
      <c r="B1146" t="str">
        <f>VLOOKUP(Counties_by_State_Code[[#This Row],[State_Code]],Territory_by_Code[],2)</f>
        <v>Louisiana</v>
      </c>
      <c r="C1146" t="s">
        <v>798</v>
      </c>
      <c r="D1146">
        <v>26812</v>
      </c>
      <c r="E1146">
        <v>895</v>
      </c>
    </row>
    <row r="1147" spans="1:5" x14ac:dyDescent="0.25">
      <c r="A1147" t="s">
        <v>785</v>
      </c>
      <c r="B1147" t="str">
        <f>VLOOKUP(Counties_by_State_Code[[#This Row],[State_Code]],Territory_by_Code[],2)</f>
        <v>Louisiana</v>
      </c>
      <c r="C1147" t="s">
        <v>799</v>
      </c>
      <c r="D1147">
        <v>456781</v>
      </c>
      <c r="E1147">
        <v>471</v>
      </c>
    </row>
    <row r="1148" spans="1:5" x14ac:dyDescent="0.25">
      <c r="A1148" t="s">
        <v>785</v>
      </c>
      <c r="B1148" t="str">
        <f>VLOOKUP(Counties_by_State_Code[[#This Row],[State_Code]],Territory_by_Code[],2)</f>
        <v>Louisiana</v>
      </c>
      <c r="C1148" t="s">
        <v>800</v>
      </c>
      <c r="D1148">
        <v>7459</v>
      </c>
      <c r="E1148">
        <v>442</v>
      </c>
    </row>
    <row r="1149" spans="1:5" x14ac:dyDescent="0.25">
      <c r="A1149" t="s">
        <v>785</v>
      </c>
      <c r="B1149" t="str">
        <f>VLOOKUP(Counties_by_State_Code[[#This Row],[State_Code]],Territory_by_Code[],2)</f>
        <v>Louisiana</v>
      </c>
      <c r="C1149" t="s">
        <v>801</v>
      </c>
      <c r="D1149">
        <v>19539</v>
      </c>
      <c r="E1149">
        <v>456</v>
      </c>
    </row>
    <row r="1150" spans="1:5" x14ac:dyDescent="0.25">
      <c r="A1150" t="s">
        <v>785</v>
      </c>
      <c r="B1150" t="str">
        <f>VLOOKUP(Counties_by_State_Code[[#This Row],[State_Code]],Territory_by_Code[],2)</f>
        <v>Louisiana</v>
      </c>
      <c r="C1150" t="s">
        <v>802</v>
      </c>
      <c r="D1150">
        <v>32350</v>
      </c>
      <c r="E1150">
        <v>680</v>
      </c>
    </row>
    <row r="1151" spans="1:5" x14ac:dyDescent="0.25">
      <c r="A1151" t="s">
        <v>785</v>
      </c>
      <c r="B1151" t="str">
        <f>VLOOKUP(Counties_by_State_Code[[#This Row],[State_Code]],Territory_by_Code[],2)</f>
        <v>Louisiana</v>
      </c>
      <c r="C1151" t="s">
        <v>30</v>
      </c>
      <c r="D1151">
        <v>19774</v>
      </c>
      <c r="E1151">
        <v>636</v>
      </c>
    </row>
    <row r="1152" spans="1:5" x14ac:dyDescent="0.25">
      <c r="A1152" t="s">
        <v>785</v>
      </c>
      <c r="B1152" t="str">
        <f>VLOOKUP(Counties_by_State_Code[[#This Row],[State_Code]],Territory_by_Code[],2)</f>
        <v>Louisiana</v>
      </c>
      <c r="C1152" t="s">
        <v>143</v>
      </c>
      <c r="D1152">
        <v>22169</v>
      </c>
      <c r="E1152">
        <v>664</v>
      </c>
    </row>
    <row r="1153" spans="1:5" x14ac:dyDescent="0.25">
      <c r="A1153" t="s">
        <v>785</v>
      </c>
      <c r="B1153" t="str">
        <f>VLOOKUP(Counties_by_State_Code[[#This Row],[State_Code]],Territory_by_Code[],2)</f>
        <v>Louisiana</v>
      </c>
      <c r="C1153" t="s">
        <v>803</v>
      </c>
      <c r="D1153">
        <v>69929</v>
      </c>
      <c r="E1153">
        <v>1031</v>
      </c>
    </row>
    <row r="1154" spans="1:5" x14ac:dyDescent="0.25">
      <c r="A1154" t="s">
        <v>785</v>
      </c>
      <c r="B1154" t="str">
        <f>VLOOKUP(Counties_by_State_Code[[#This Row],[State_Code]],Territory_by_Code[],2)</f>
        <v>Louisiana</v>
      </c>
      <c r="C1154" t="s">
        <v>804</v>
      </c>
      <c r="D1154">
        <v>30241</v>
      </c>
      <c r="E1154">
        <v>653</v>
      </c>
    </row>
    <row r="1155" spans="1:5" x14ac:dyDescent="0.25">
      <c r="A1155" t="s">
        <v>785</v>
      </c>
      <c r="B1155" t="str">
        <f>VLOOKUP(Counties_by_State_Code[[#This Row],[State_Code]],Territory_by_Code[],2)</f>
        <v>Louisiana</v>
      </c>
      <c r="C1155" t="s">
        <v>36</v>
      </c>
      <c r="D1155">
        <v>15031</v>
      </c>
      <c r="E1155">
        <v>580</v>
      </c>
    </row>
    <row r="1156" spans="1:5" x14ac:dyDescent="0.25">
      <c r="A1156" t="s">
        <v>785</v>
      </c>
      <c r="B1156" t="str">
        <f>VLOOKUP(Counties_by_State_Code[[#This Row],[State_Code]],Territory_by_Code[],2)</f>
        <v>Louisiana</v>
      </c>
      <c r="C1156" t="s">
        <v>37</v>
      </c>
      <c r="D1156">
        <v>440781</v>
      </c>
      <c r="E1156">
        <v>642</v>
      </c>
    </row>
    <row r="1157" spans="1:5" x14ac:dyDescent="0.25">
      <c r="A1157" t="s">
        <v>785</v>
      </c>
      <c r="B1157" t="str">
        <f>VLOOKUP(Counties_by_State_Code[[#This Row],[State_Code]],Territory_by_Code[],2)</f>
        <v>Louisiana</v>
      </c>
      <c r="C1157" t="s">
        <v>805</v>
      </c>
      <c r="D1157">
        <v>32250</v>
      </c>
      <c r="E1157">
        <v>659</v>
      </c>
    </row>
    <row r="1158" spans="1:5" x14ac:dyDescent="0.25">
      <c r="A1158" t="s">
        <v>785</v>
      </c>
      <c r="B1158" t="str">
        <f>VLOOKUP(Counties_by_State_Code[[#This Row],[State_Code]],Territory_by_Code[],2)</f>
        <v>Louisiana</v>
      </c>
      <c r="C1158" t="s">
        <v>150</v>
      </c>
      <c r="D1158">
        <v>241753</v>
      </c>
      <c r="E1158">
        <v>270</v>
      </c>
    </row>
    <row r="1159" spans="1:5" x14ac:dyDescent="0.25">
      <c r="A1159" t="s">
        <v>785</v>
      </c>
      <c r="B1159" t="str">
        <f>VLOOKUP(Counties_by_State_Code[[#This Row],[State_Code]],Territory_by_Code[],2)</f>
        <v>Louisiana</v>
      </c>
      <c r="C1159" t="s">
        <v>806</v>
      </c>
      <c r="D1159">
        <v>97557</v>
      </c>
      <c r="E1159">
        <v>1472</v>
      </c>
    </row>
    <row r="1160" spans="1:5" x14ac:dyDescent="0.25">
      <c r="A1160" t="s">
        <v>785</v>
      </c>
      <c r="B1160" t="str">
        <f>VLOOKUP(Counties_by_State_Code[[#This Row],[State_Code]],Territory_by_Code[],2)</f>
        <v>Louisiana</v>
      </c>
      <c r="C1160" t="s">
        <v>544</v>
      </c>
      <c r="D1160">
        <v>14791</v>
      </c>
      <c r="E1160">
        <v>663</v>
      </c>
    </row>
    <row r="1161" spans="1:5" x14ac:dyDescent="0.25">
      <c r="A1161" t="s">
        <v>785</v>
      </c>
      <c r="B1161" t="str">
        <f>VLOOKUP(Counties_by_State_Code[[#This Row],[State_Code]],Territory_by_Code[],2)</f>
        <v>Louisiana</v>
      </c>
      <c r="C1161" t="s">
        <v>151</v>
      </c>
      <c r="D1161">
        <v>48396</v>
      </c>
      <c r="E1161">
        <v>472</v>
      </c>
    </row>
    <row r="1162" spans="1:5" x14ac:dyDescent="0.25">
      <c r="A1162" t="s">
        <v>785</v>
      </c>
      <c r="B1162" t="str">
        <f>VLOOKUP(Counties_by_State_Code[[#This Row],[State_Code]],Territory_by_Code[],2)</f>
        <v>Louisiana</v>
      </c>
      <c r="C1162" t="s">
        <v>545</v>
      </c>
      <c r="D1162">
        <v>142282</v>
      </c>
      <c r="E1162">
        <v>703</v>
      </c>
    </row>
    <row r="1163" spans="1:5" x14ac:dyDescent="0.25">
      <c r="A1163" t="s">
        <v>785</v>
      </c>
      <c r="B1163" t="str">
        <f>VLOOKUP(Counties_by_State_Code[[#This Row],[State_Code]],Territory_by_Code[],2)</f>
        <v>Louisiana</v>
      </c>
      <c r="C1163" t="s">
        <v>45</v>
      </c>
      <c r="D1163">
        <v>10017</v>
      </c>
      <c r="E1163">
        <v>651</v>
      </c>
    </row>
    <row r="1164" spans="1:5" x14ac:dyDescent="0.25">
      <c r="A1164" t="s">
        <v>785</v>
      </c>
      <c r="B1164" t="str">
        <f>VLOOKUP(Counties_by_State_Code[[#This Row],[State_Code]],Territory_by_Code[],2)</f>
        <v>Louisiana</v>
      </c>
      <c r="C1164" t="s">
        <v>807</v>
      </c>
      <c r="D1164">
        <v>25629</v>
      </c>
      <c r="E1164">
        <v>805</v>
      </c>
    </row>
    <row r="1165" spans="1:5" x14ac:dyDescent="0.25">
      <c r="A1165" t="s">
        <v>785</v>
      </c>
      <c r="B1165" t="str">
        <f>VLOOKUP(Counties_by_State_Code[[#This Row],[State_Code]],Territory_by_Code[],2)</f>
        <v>Louisiana</v>
      </c>
      <c r="C1165" t="s">
        <v>808</v>
      </c>
      <c r="D1165">
        <v>37515</v>
      </c>
      <c r="E1165">
        <v>1299</v>
      </c>
    </row>
    <row r="1166" spans="1:5" x14ac:dyDescent="0.25">
      <c r="A1166" t="s">
        <v>785</v>
      </c>
      <c r="B1166" t="str">
        <f>VLOOKUP(Counties_by_State_Code[[#This Row],[State_Code]],Territory_by_Code[],2)</f>
        <v>Louisiana</v>
      </c>
      <c r="C1166" t="s">
        <v>809</v>
      </c>
      <c r="D1166">
        <v>383997</v>
      </c>
      <c r="E1166">
        <v>350</v>
      </c>
    </row>
    <row r="1167" spans="1:5" x14ac:dyDescent="0.25">
      <c r="A1167" t="s">
        <v>785</v>
      </c>
      <c r="B1167" t="str">
        <f>VLOOKUP(Counties_by_State_Code[[#This Row],[State_Code]],Territory_by_Code[],2)</f>
        <v>Louisiana</v>
      </c>
      <c r="C1167" t="s">
        <v>159</v>
      </c>
      <c r="D1167">
        <v>160368</v>
      </c>
      <c r="E1167">
        <v>633</v>
      </c>
    </row>
    <row r="1168" spans="1:5" x14ac:dyDescent="0.25">
      <c r="A1168" t="s">
        <v>785</v>
      </c>
      <c r="B1168" t="str">
        <f>VLOOKUP(Counties_by_State_Code[[#This Row],[State_Code]],Territory_by_Code[],2)</f>
        <v>Louisiana</v>
      </c>
      <c r="C1168" t="s">
        <v>810</v>
      </c>
      <c r="D1168">
        <v>23515</v>
      </c>
      <c r="E1168">
        <v>2429</v>
      </c>
    </row>
    <row r="1169" spans="1:5" x14ac:dyDescent="0.25">
      <c r="A1169" t="s">
        <v>785</v>
      </c>
      <c r="B1169" t="str">
        <f>VLOOKUP(Counties_by_State_Code[[#This Row],[State_Code]],Territory_by_Code[],2)</f>
        <v>Louisiana</v>
      </c>
      <c r="C1169" t="s">
        <v>811</v>
      </c>
      <c r="D1169">
        <v>20758</v>
      </c>
      <c r="E1169">
        <v>591</v>
      </c>
    </row>
    <row r="1170" spans="1:5" x14ac:dyDescent="0.25">
      <c r="A1170" t="s">
        <v>785</v>
      </c>
      <c r="B1170" t="str">
        <f>VLOOKUP(Counties_by_State_Code[[#This Row],[State_Code]],Territory_by_Code[],2)</f>
        <v>Louisiana</v>
      </c>
      <c r="C1170" t="s">
        <v>812</v>
      </c>
      <c r="D1170">
        <v>130023</v>
      </c>
      <c r="E1170">
        <v>1362</v>
      </c>
    </row>
    <row r="1171" spans="1:5" x14ac:dyDescent="0.25">
      <c r="A1171" t="s">
        <v>785</v>
      </c>
      <c r="B1171" t="str">
        <f>VLOOKUP(Counties_by_State_Code[[#This Row],[State_Code]],Territory_by_Code[],2)</f>
        <v>Louisiana</v>
      </c>
      <c r="C1171" t="s">
        <v>813</v>
      </c>
      <c r="D1171">
        <v>7620</v>
      </c>
      <c r="E1171">
        <v>402</v>
      </c>
    </row>
    <row r="1172" spans="1:5" x14ac:dyDescent="0.25">
      <c r="A1172" t="s">
        <v>785</v>
      </c>
      <c r="B1172" t="str">
        <f>VLOOKUP(Counties_by_State_Code[[#This Row],[State_Code]],Territory_by_Code[],2)</f>
        <v>Louisiana</v>
      </c>
      <c r="C1172" t="s">
        <v>558</v>
      </c>
      <c r="D1172">
        <v>20043</v>
      </c>
      <c r="E1172">
        <v>564</v>
      </c>
    </row>
    <row r="1173" spans="1:5" x14ac:dyDescent="0.25">
      <c r="A1173" t="s">
        <v>785</v>
      </c>
      <c r="B1173" t="str">
        <f>VLOOKUP(Counties_by_State_Code[[#This Row],[State_Code]],Territory_by_Code[],2)</f>
        <v>Louisiana</v>
      </c>
      <c r="C1173" t="s">
        <v>814</v>
      </c>
      <c r="D1173">
        <v>22155</v>
      </c>
      <c r="E1173">
        <v>1012</v>
      </c>
    </row>
    <row r="1174" spans="1:5" x14ac:dyDescent="0.25">
      <c r="A1174" t="s">
        <v>785</v>
      </c>
      <c r="B1174" t="str">
        <f>VLOOKUP(Counties_by_State_Code[[#This Row],[State_Code]],Territory_by_Code[],2)</f>
        <v>Louisiana</v>
      </c>
      <c r="C1174" t="s">
        <v>815</v>
      </c>
      <c r="D1174">
        <v>43764</v>
      </c>
      <c r="E1174">
        <v>1794</v>
      </c>
    </row>
    <row r="1175" spans="1:5" x14ac:dyDescent="0.25">
      <c r="A1175" t="s">
        <v>785</v>
      </c>
      <c r="B1175" t="str">
        <f>VLOOKUP(Counties_by_State_Code[[#This Row],[State_Code]],Territory_by_Code[],2)</f>
        <v>Louisiana</v>
      </c>
      <c r="C1175" t="s">
        <v>816</v>
      </c>
      <c r="D1175">
        <v>52549</v>
      </c>
      <c r="E1175">
        <v>410</v>
      </c>
    </row>
    <row r="1176" spans="1:5" x14ac:dyDescent="0.25">
      <c r="A1176" t="s">
        <v>785</v>
      </c>
      <c r="B1176" t="str">
        <f>VLOOKUP(Counties_by_State_Code[[#This Row],[State_Code]],Territory_by_Code[],2)</f>
        <v>Louisiana</v>
      </c>
      <c r="C1176" t="s">
        <v>817</v>
      </c>
      <c r="D1176">
        <v>10920</v>
      </c>
      <c r="E1176">
        <v>409</v>
      </c>
    </row>
    <row r="1177" spans="1:5" x14ac:dyDescent="0.25">
      <c r="A1177" t="s">
        <v>785</v>
      </c>
      <c r="B1177" t="str">
        <f>VLOOKUP(Counties_by_State_Code[[#This Row],[State_Code]],Territory_by_Code[],2)</f>
        <v>Louisiana</v>
      </c>
      <c r="C1177" t="s">
        <v>818</v>
      </c>
      <c r="D1177">
        <v>20192</v>
      </c>
      <c r="E1177">
        <v>258</v>
      </c>
    </row>
    <row r="1178" spans="1:5" x14ac:dyDescent="0.25">
      <c r="A1178" t="s">
        <v>785</v>
      </c>
      <c r="B1178" t="str">
        <f>VLOOKUP(Counties_by_State_Code[[#This Row],[State_Code]],Territory_by_Code[],2)</f>
        <v>Louisiana</v>
      </c>
      <c r="C1178" t="s">
        <v>819</v>
      </c>
      <c r="D1178">
        <v>42477</v>
      </c>
      <c r="E1178">
        <v>348</v>
      </c>
    </row>
    <row r="1179" spans="1:5" x14ac:dyDescent="0.25">
      <c r="A1179" t="s">
        <v>785</v>
      </c>
      <c r="B1179" t="str">
        <f>VLOOKUP(Counties_by_State_Code[[#This Row],[State_Code]],Territory_by_Code[],2)</f>
        <v>Louisiana</v>
      </c>
      <c r="C1179" t="s">
        <v>820</v>
      </c>
      <c r="D1179">
        <v>82540</v>
      </c>
      <c r="E1179">
        <v>939</v>
      </c>
    </row>
    <row r="1180" spans="1:5" x14ac:dyDescent="0.25">
      <c r="A1180" t="s">
        <v>785</v>
      </c>
      <c r="B1180" t="str">
        <f>VLOOKUP(Counties_by_State_Code[[#This Row],[State_Code]],Territory_by_Code[],2)</f>
        <v>Louisiana</v>
      </c>
      <c r="C1180" t="s">
        <v>821</v>
      </c>
      <c r="D1180">
        <v>51767</v>
      </c>
      <c r="E1180">
        <v>817</v>
      </c>
    </row>
    <row r="1181" spans="1:5" x14ac:dyDescent="0.25">
      <c r="A1181" t="s">
        <v>785</v>
      </c>
      <c r="B1181" t="str">
        <f>VLOOKUP(Counties_by_State_Code[[#This Row],[State_Code]],Territory_by_Code[],2)</f>
        <v>Louisiana</v>
      </c>
      <c r="C1181" t="s">
        <v>822</v>
      </c>
      <c r="D1181">
        <v>49406</v>
      </c>
      <c r="E1181">
        <v>612</v>
      </c>
    </row>
    <row r="1182" spans="1:5" x14ac:dyDescent="0.25">
      <c r="A1182" t="s">
        <v>785</v>
      </c>
      <c r="B1182" t="str">
        <f>VLOOKUP(Counties_by_State_Code[[#This Row],[State_Code]],Territory_by_Code[],2)</f>
        <v>Louisiana</v>
      </c>
      <c r="C1182" t="s">
        <v>823</v>
      </c>
      <c r="D1182">
        <v>264570</v>
      </c>
      <c r="E1182">
        <v>1124</v>
      </c>
    </row>
    <row r="1183" spans="1:5" x14ac:dyDescent="0.25">
      <c r="A1183" t="s">
        <v>785</v>
      </c>
      <c r="B1183" t="str">
        <f>VLOOKUP(Counties_by_State_Code[[#This Row],[State_Code]],Territory_by_Code[],2)</f>
        <v>Louisiana</v>
      </c>
      <c r="C1183" t="s">
        <v>824</v>
      </c>
      <c r="D1183">
        <v>133157</v>
      </c>
      <c r="E1183">
        <v>823</v>
      </c>
    </row>
    <row r="1184" spans="1:5" x14ac:dyDescent="0.25">
      <c r="A1184" t="s">
        <v>785</v>
      </c>
      <c r="B1184" t="str">
        <f>VLOOKUP(Counties_by_State_Code[[#This Row],[State_Code]],Territory_by_Code[],2)</f>
        <v>Louisiana</v>
      </c>
      <c r="C1184" t="s">
        <v>825</v>
      </c>
      <c r="D1184">
        <v>4147</v>
      </c>
      <c r="E1184">
        <v>641</v>
      </c>
    </row>
    <row r="1185" spans="1:5" x14ac:dyDescent="0.25">
      <c r="A1185" t="s">
        <v>785</v>
      </c>
      <c r="B1185" t="str">
        <f>VLOOKUP(Counties_by_State_Code[[#This Row],[State_Code]],Territory_by_Code[],2)</f>
        <v>Louisiana</v>
      </c>
      <c r="C1185" t="s">
        <v>826</v>
      </c>
      <c r="D1185">
        <v>109580</v>
      </c>
      <c r="E1185">
        <v>2080</v>
      </c>
    </row>
    <row r="1186" spans="1:5" x14ac:dyDescent="0.25">
      <c r="A1186" t="s">
        <v>785</v>
      </c>
      <c r="B1186" t="str">
        <f>VLOOKUP(Counties_by_State_Code[[#This Row],[State_Code]],Territory_by_Code[],2)</f>
        <v>Louisiana</v>
      </c>
      <c r="C1186" t="s">
        <v>174</v>
      </c>
      <c r="D1186">
        <v>21107</v>
      </c>
      <c r="E1186">
        <v>905</v>
      </c>
    </row>
    <row r="1187" spans="1:5" x14ac:dyDescent="0.25">
      <c r="A1187" t="s">
        <v>785</v>
      </c>
      <c r="B1187" t="str">
        <f>VLOOKUP(Counties_by_State_Code[[#This Row],[State_Code]],Territory_by_Code[],2)</f>
        <v>Louisiana</v>
      </c>
      <c r="C1187" t="s">
        <v>565</v>
      </c>
      <c r="D1187">
        <v>57359</v>
      </c>
      <c r="E1187">
        <v>1538</v>
      </c>
    </row>
    <row r="1188" spans="1:5" x14ac:dyDescent="0.25">
      <c r="A1188" t="s">
        <v>785</v>
      </c>
      <c r="B1188" t="str">
        <f>VLOOKUP(Counties_by_State_Code[[#This Row],[State_Code]],Territory_by_Code[],2)</f>
        <v>Louisiana</v>
      </c>
      <c r="C1188" t="s">
        <v>827</v>
      </c>
      <c r="D1188">
        <v>48750</v>
      </c>
      <c r="E1188">
        <v>1341</v>
      </c>
    </row>
    <row r="1189" spans="1:5" x14ac:dyDescent="0.25">
      <c r="A1189" t="s">
        <v>785</v>
      </c>
      <c r="B1189" t="str">
        <f>VLOOKUP(Counties_by_State_Code[[#This Row],[State_Code]],Territory_by_Code[],2)</f>
        <v>Louisiana</v>
      </c>
      <c r="C1189" t="s">
        <v>65</v>
      </c>
      <c r="D1189">
        <v>45463</v>
      </c>
      <c r="E1189">
        <v>676</v>
      </c>
    </row>
    <row r="1190" spans="1:5" x14ac:dyDescent="0.25">
      <c r="A1190" t="s">
        <v>785</v>
      </c>
      <c r="B1190" t="str">
        <f>VLOOKUP(Counties_by_State_Code[[#This Row],[State_Code]],Territory_by_Code[],2)</f>
        <v>Louisiana</v>
      </c>
      <c r="C1190" t="s">
        <v>469</v>
      </c>
      <c r="D1190">
        <v>36967</v>
      </c>
      <c r="E1190">
        <v>615</v>
      </c>
    </row>
    <row r="1191" spans="1:5" x14ac:dyDescent="0.25">
      <c r="A1191" t="s">
        <v>785</v>
      </c>
      <c r="B1191" t="str">
        <f>VLOOKUP(Counties_by_State_Code[[#This Row],[State_Code]],Territory_by_Code[],2)</f>
        <v>Louisiana</v>
      </c>
      <c r="C1191" t="s">
        <v>828</v>
      </c>
      <c r="D1191">
        <v>27199</v>
      </c>
      <c r="E1191">
        <v>203</v>
      </c>
    </row>
    <row r="1192" spans="1:5" x14ac:dyDescent="0.25">
      <c r="A1192" t="s">
        <v>785</v>
      </c>
      <c r="B1192" t="str">
        <f>VLOOKUP(Counties_by_State_Code[[#This Row],[State_Code]],Territory_by_Code[],2)</f>
        <v>Louisiana</v>
      </c>
      <c r="C1192" t="s">
        <v>829</v>
      </c>
      <c r="D1192">
        <v>9751</v>
      </c>
      <c r="E1192">
        <v>360</v>
      </c>
    </row>
    <row r="1193" spans="1:5" x14ac:dyDescent="0.25">
      <c r="A1193" t="s">
        <v>785</v>
      </c>
      <c r="B1193" t="str">
        <f>VLOOKUP(Counties_by_State_Code[[#This Row],[State_Code]],Territory_by_Code[],2)</f>
        <v>Louisiana</v>
      </c>
      <c r="C1193" t="s">
        <v>830</v>
      </c>
      <c r="D1193">
        <v>15310</v>
      </c>
      <c r="E1193">
        <v>426</v>
      </c>
    </row>
    <row r="1194" spans="1:5" x14ac:dyDescent="0.25">
      <c r="A1194" t="s">
        <v>785</v>
      </c>
      <c r="B1194" t="str">
        <f>VLOOKUP(Counties_by_State_Code[[#This Row],[State_Code]],Territory_by_Code[],2)</f>
        <v>Louisiana</v>
      </c>
      <c r="C1194" t="s">
        <v>831</v>
      </c>
      <c r="D1194">
        <v>13755</v>
      </c>
      <c r="E1194">
        <v>957</v>
      </c>
    </row>
    <row r="1195" spans="1:5" x14ac:dyDescent="0.25">
      <c r="A1195" t="s">
        <v>833</v>
      </c>
      <c r="B1195" t="str">
        <f>VLOOKUP(Counties_by_State_Code[[#This Row],[State_Code]],Territory_by_Code[],2)</f>
        <v>Maine</v>
      </c>
      <c r="C1195" t="s">
        <v>832</v>
      </c>
      <c r="D1195">
        <v>111139</v>
      </c>
      <c r="E1195">
        <v>497</v>
      </c>
    </row>
    <row r="1196" spans="1:5" x14ac:dyDescent="0.25">
      <c r="A1196" t="s">
        <v>833</v>
      </c>
      <c r="B1196" t="str">
        <f>VLOOKUP(Counties_by_State_Code[[#This Row],[State_Code]],Territory_by_Code[],2)</f>
        <v>Maine</v>
      </c>
      <c r="C1196" t="s">
        <v>834</v>
      </c>
      <c r="D1196">
        <v>67105</v>
      </c>
      <c r="E1196">
        <v>6829</v>
      </c>
    </row>
    <row r="1197" spans="1:5" x14ac:dyDescent="0.25">
      <c r="A1197" t="s">
        <v>833</v>
      </c>
      <c r="B1197" t="str">
        <f>VLOOKUP(Counties_by_State_Code[[#This Row],[State_Code]],Territory_by_Code[],2)</f>
        <v>Maine</v>
      </c>
      <c r="C1197" t="s">
        <v>527</v>
      </c>
      <c r="D1197">
        <v>303069</v>
      </c>
      <c r="E1197">
        <v>1217</v>
      </c>
    </row>
    <row r="1198" spans="1:5" x14ac:dyDescent="0.25">
      <c r="A1198" t="s">
        <v>833</v>
      </c>
      <c r="B1198" t="str">
        <f>VLOOKUP(Counties_by_State_Code[[#This Row],[State_Code]],Territory_by_Code[],2)</f>
        <v>Maine</v>
      </c>
      <c r="C1198" t="s">
        <v>30</v>
      </c>
      <c r="D1198">
        <v>29456</v>
      </c>
      <c r="E1198">
        <v>1744</v>
      </c>
    </row>
    <row r="1199" spans="1:5" x14ac:dyDescent="0.25">
      <c r="A1199" t="s">
        <v>833</v>
      </c>
      <c r="B1199" t="str">
        <f>VLOOKUP(Counties_by_State_Code[[#This Row],[State_Code]],Territory_by_Code[],2)</f>
        <v>Maine</v>
      </c>
      <c r="C1199" t="s">
        <v>418</v>
      </c>
      <c r="D1199">
        <v>55478</v>
      </c>
      <c r="E1199">
        <v>2351</v>
      </c>
    </row>
    <row r="1200" spans="1:5" x14ac:dyDescent="0.25">
      <c r="A1200" t="s">
        <v>833</v>
      </c>
      <c r="B1200" t="str">
        <f>VLOOKUP(Counties_by_State_Code[[#This Row],[State_Code]],Territory_by_Code[],2)</f>
        <v>Maine</v>
      </c>
      <c r="C1200" t="s">
        <v>835</v>
      </c>
      <c r="D1200">
        <v>123642</v>
      </c>
      <c r="E1200">
        <v>951</v>
      </c>
    </row>
    <row r="1201" spans="1:5" x14ac:dyDescent="0.25">
      <c r="A1201" t="s">
        <v>833</v>
      </c>
      <c r="B1201" t="str">
        <f>VLOOKUP(Counties_by_State_Code[[#This Row],[State_Code]],Territory_by_Code[],2)</f>
        <v>Maine</v>
      </c>
      <c r="C1201" t="s">
        <v>543</v>
      </c>
      <c r="D1201">
        <v>40607</v>
      </c>
      <c r="E1201">
        <v>1142</v>
      </c>
    </row>
    <row r="1202" spans="1:5" x14ac:dyDescent="0.25">
      <c r="A1202" t="s">
        <v>833</v>
      </c>
      <c r="B1202" t="str">
        <f>VLOOKUP(Counties_by_State_Code[[#This Row],[State_Code]],Territory_by_Code[],2)</f>
        <v>Maine</v>
      </c>
      <c r="C1202" t="s">
        <v>151</v>
      </c>
      <c r="D1202">
        <v>35237</v>
      </c>
      <c r="E1202">
        <v>700</v>
      </c>
    </row>
    <row r="1203" spans="1:5" x14ac:dyDescent="0.25">
      <c r="A1203" t="s">
        <v>833</v>
      </c>
      <c r="B1203" t="str">
        <f>VLOOKUP(Counties_by_State_Code[[#This Row],[State_Code]],Territory_by_Code[],2)</f>
        <v>Maine</v>
      </c>
      <c r="C1203" t="s">
        <v>836</v>
      </c>
      <c r="D1203">
        <v>57777</v>
      </c>
      <c r="E1203">
        <v>2175</v>
      </c>
    </row>
    <row r="1204" spans="1:5" x14ac:dyDescent="0.25">
      <c r="A1204" t="s">
        <v>833</v>
      </c>
      <c r="B1204" t="str">
        <f>VLOOKUP(Counties_by_State_Code[[#This Row],[State_Code]],Territory_by_Code[],2)</f>
        <v>Maine</v>
      </c>
      <c r="C1204" t="s">
        <v>837</v>
      </c>
      <c r="D1204">
        <v>152199</v>
      </c>
      <c r="E1204">
        <v>3556</v>
      </c>
    </row>
    <row r="1205" spans="1:5" x14ac:dyDescent="0.25">
      <c r="A1205" t="s">
        <v>833</v>
      </c>
      <c r="B1205" t="str">
        <f>VLOOKUP(Counties_by_State_Code[[#This Row],[State_Code]],Territory_by_Code[],2)</f>
        <v>Maine</v>
      </c>
      <c r="C1205" t="s">
        <v>838</v>
      </c>
      <c r="D1205">
        <v>16800</v>
      </c>
      <c r="E1205">
        <v>4377</v>
      </c>
    </row>
    <row r="1206" spans="1:5" x14ac:dyDescent="0.25">
      <c r="A1206" t="s">
        <v>833</v>
      </c>
      <c r="B1206" t="str">
        <f>VLOOKUP(Counties_by_State_Code[[#This Row],[State_Code]],Territory_by_Code[],2)</f>
        <v>Maine</v>
      </c>
      <c r="C1206" t="s">
        <v>839</v>
      </c>
      <c r="D1206">
        <v>36699</v>
      </c>
      <c r="E1206">
        <v>370</v>
      </c>
    </row>
    <row r="1207" spans="1:5" x14ac:dyDescent="0.25">
      <c r="A1207" t="s">
        <v>833</v>
      </c>
      <c r="B1207" t="str">
        <f>VLOOKUP(Counties_by_State_Code[[#This Row],[State_Code]],Territory_by_Code[],2)</f>
        <v>Maine</v>
      </c>
      <c r="C1207" t="s">
        <v>840</v>
      </c>
      <c r="D1207">
        <v>50477</v>
      </c>
      <c r="E1207">
        <v>4095</v>
      </c>
    </row>
    <row r="1208" spans="1:5" x14ac:dyDescent="0.25">
      <c r="A1208" t="s">
        <v>833</v>
      </c>
      <c r="B1208" t="str">
        <f>VLOOKUP(Counties_by_State_Code[[#This Row],[State_Code]],Territory_by_Code[],2)</f>
        <v>Maine</v>
      </c>
      <c r="C1208" t="s">
        <v>841</v>
      </c>
      <c r="D1208">
        <v>39607</v>
      </c>
      <c r="E1208">
        <v>853</v>
      </c>
    </row>
    <row r="1209" spans="1:5" x14ac:dyDescent="0.25">
      <c r="A1209" t="s">
        <v>833</v>
      </c>
      <c r="B1209" t="str">
        <f>VLOOKUP(Counties_by_State_Code[[#This Row],[State_Code]],Territory_by_Code[],2)</f>
        <v>Maine</v>
      </c>
      <c r="C1209" t="s">
        <v>65</v>
      </c>
      <c r="D1209">
        <v>31095</v>
      </c>
      <c r="E1209">
        <v>3255</v>
      </c>
    </row>
    <row r="1210" spans="1:5" x14ac:dyDescent="0.25">
      <c r="A1210" t="s">
        <v>833</v>
      </c>
      <c r="B1210" t="str">
        <f>VLOOKUP(Counties_by_State_Code[[#This Row],[State_Code]],Territory_by_Code[],2)</f>
        <v>Maine</v>
      </c>
      <c r="C1210" t="s">
        <v>842</v>
      </c>
      <c r="D1210">
        <v>211972</v>
      </c>
      <c r="E1210">
        <v>1271</v>
      </c>
    </row>
    <row r="1211" spans="1:5" x14ac:dyDescent="0.25">
      <c r="A1211" t="s">
        <v>844</v>
      </c>
      <c r="B1211" t="str">
        <f>VLOOKUP(Counties_by_State_Code[[#This Row],[State_Code]],Territory_by_Code[],2)</f>
        <v>Maryland</v>
      </c>
      <c r="C1211" t="s">
        <v>843</v>
      </c>
      <c r="D1211">
        <v>68106</v>
      </c>
      <c r="E1211">
        <v>424</v>
      </c>
    </row>
    <row r="1212" spans="1:5" x14ac:dyDescent="0.25">
      <c r="A1212" t="s">
        <v>844</v>
      </c>
      <c r="B1212" t="str">
        <f>VLOOKUP(Counties_by_State_Code[[#This Row],[State_Code]],Territory_by_Code[],2)</f>
        <v>Maryland</v>
      </c>
      <c r="C1212" t="s">
        <v>845</v>
      </c>
      <c r="D1212">
        <v>588261</v>
      </c>
      <c r="E1212">
        <v>415</v>
      </c>
    </row>
    <row r="1213" spans="1:5" x14ac:dyDescent="0.25">
      <c r="A1213" t="s">
        <v>844</v>
      </c>
      <c r="B1213" t="str">
        <f>VLOOKUP(Counties_by_State_Code[[#This Row],[State_Code]],Territory_by_Code[],2)</f>
        <v>Maryland</v>
      </c>
      <c r="C1213" t="s">
        <v>846</v>
      </c>
      <c r="D1213">
        <v>854535</v>
      </c>
      <c r="E1213">
        <v>598</v>
      </c>
    </row>
    <row r="1214" spans="1:5" x14ac:dyDescent="0.25">
      <c r="A1214" t="s">
        <v>844</v>
      </c>
      <c r="B1214" t="str">
        <f>VLOOKUP(Counties_by_State_Code[[#This Row],[State_Code]],Territory_by_Code[],2)</f>
        <v>Maryland</v>
      </c>
      <c r="C1214" t="s">
        <v>847</v>
      </c>
      <c r="D1214">
        <v>92783</v>
      </c>
      <c r="E1214">
        <v>213</v>
      </c>
    </row>
    <row r="1215" spans="1:5" x14ac:dyDescent="0.25">
      <c r="A1215" t="s">
        <v>844</v>
      </c>
      <c r="B1215" t="str">
        <f>VLOOKUP(Counties_by_State_Code[[#This Row],[State_Code]],Territory_by_Code[],2)</f>
        <v>Maryland</v>
      </c>
      <c r="C1215" t="s">
        <v>848</v>
      </c>
      <c r="D1215">
        <v>33293</v>
      </c>
      <c r="E1215">
        <v>319</v>
      </c>
    </row>
    <row r="1216" spans="1:5" x14ac:dyDescent="0.25">
      <c r="A1216" t="s">
        <v>844</v>
      </c>
      <c r="B1216" t="str">
        <f>VLOOKUP(Counties_by_State_Code[[#This Row],[State_Code]],Territory_by_Code[],2)</f>
        <v>Maryland</v>
      </c>
      <c r="C1216" t="s">
        <v>128</v>
      </c>
      <c r="D1216">
        <v>172891</v>
      </c>
      <c r="E1216">
        <v>448</v>
      </c>
    </row>
    <row r="1217" spans="1:5" x14ac:dyDescent="0.25">
      <c r="A1217" t="s">
        <v>844</v>
      </c>
      <c r="B1217" t="str">
        <f>VLOOKUP(Counties_by_State_Code[[#This Row],[State_Code]],Territory_by_Code[],2)</f>
        <v>Maryland</v>
      </c>
      <c r="C1217" t="s">
        <v>849</v>
      </c>
      <c r="D1217">
        <v>103725</v>
      </c>
      <c r="E1217">
        <v>418</v>
      </c>
    </row>
    <row r="1218" spans="1:5" x14ac:dyDescent="0.25">
      <c r="A1218" t="s">
        <v>844</v>
      </c>
      <c r="B1218" t="str">
        <f>VLOOKUP(Counties_by_State_Code[[#This Row],[State_Code]],Territory_by_Code[],2)</f>
        <v>Maryland</v>
      </c>
      <c r="C1218" t="s">
        <v>850</v>
      </c>
      <c r="D1218">
        <v>166617</v>
      </c>
      <c r="E1218">
        <v>458</v>
      </c>
    </row>
    <row r="1219" spans="1:5" x14ac:dyDescent="0.25">
      <c r="A1219" t="s">
        <v>844</v>
      </c>
      <c r="B1219" t="str">
        <f>VLOOKUP(Counties_by_State_Code[[#This Row],[State_Code]],Territory_by_Code[],2)</f>
        <v>Maryland</v>
      </c>
      <c r="C1219" t="s">
        <v>851</v>
      </c>
      <c r="D1219">
        <v>32531</v>
      </c>
      <c r="E1219">
        <v>541</v>
      </c>
    </row>
    <row r="1220" spans="1:5" x14ac:dyDescent="0.25">
      <c r="A1220" t="s">
        <v>844</v>
      </c>
      <c r="B1220" t="str">
        <f>VLOOKUP(Counties_by_State_Code[[#This Row],[State_Code]],Territory_by_Code[],2)</f>
        <v>Maryland</v>
      </c>
      <c r="C1220" t="s">
        <v>852</v>
      </c>
      <c r="D1220">
        <v>271717</v>
      </c>
      <c r="E1220">
        <v>660</v>
      </c>
    </row>
    <row r="1221" spans="1:5" x14ac:dyDescent="0.25">
      <c r="A1221" t="s">
        <v>844</v>
      </c>
      <c r="B1221" t="str">
        <f>VLOOKUP(Counties_by_State_Code[[#This Row],[State_Code]],Territory_by_Code[],2)</f>
        <v>Maryland</v>
      </c>
      <c r="C1221" t="s">
        <v>853</v>
      </c>
      <c r="D1221">
        <v>28806</v>
      </c>
      <c r="E1221">
        <v>667</v>
      </c>
    </row>
    <row r="1222" spans="1:5" x14ac:dyDescent="0.25">
      <c r="A1222" t="s">
        <v>844</v>
      </c>
      <c r="B1222" t="str">
        <f>VLOOKUP(Counties_by_State_Code[[#This Row],[State_Code]],Territory_by_Code[],2)</f>
        <v>Maryland</v>
      </c>
      <c r="C1222" t="s">
        <v>854</v>
      </c>
      <c r="D1222">
        <v>260924</v>
      </c>
      <c r="E1222">
        <v>437</v>
      </c>
    </row>
    <row r="1223" spans="1:5" x14ac:dyDescent="0.25">
      <c r="A1223" t="s">
        <v>844</v>
      </c>
      <c r="B1223" t="str">
        <f>VLOOKUP(Counties_by_State_Code[[#This Row],[State_Code]],Territory_by_Code[],2)</f>
        <v>Maryland</v>
      </c>
      <c r="C1223" t="s">
        <v>146</v>
      </c>
      <c r="D1223">
        <v>332317</v>
      </c>
      <c r="E1223">
        <v>251</v>
      </c>
    </row>
    <row r="1224" spans="1:5" x14ac:dyDescent="0.25">
      <c r="A1224" t="s">
        <v>844</v>
      </c>
      <c r="B1224" t="str">
        <f>VLOOKUP(Counties_by_State_Code[[#This Row],[State_Code]],Territory_by_Code[],2)</f>
        <v>Maryland</v>
      </c>
      <c r="C1224" t="s">
        <v>310</v>
      </c>
      <c r="D1224">
        <v>19198</v>
      </c>
      <c r="E1224">
        <v>277</v>
      </c>
    </row>
    <row r="1225" spans="1:5" x14ac:dyDescent="0.25">
      <c r="A1225" t="s">
        <v>844</v>
      </c>
      <c r="B1225" t="str">
        <f>VLOOKUP(Counties_by_State_Code[[#This Row],[State_Code]],Territory_by_Code[],2)</f>
        <v>Maryland</v>
      </c>
      <c r="C1225" t="s">
        <v>51</v>
      </c>
      <c r="D1225">
        <v>1062061</v>
      </c>
      <c r="E1225">
        <v>493</v>
      </c>
    </row>
    <row r="1226" spans="1:5" x14ac:dyDescent="0.25">
      <c r="A1226" t="s">
        <v>844</v>
      </c>
      <c r="B1226" t="str">
        <f>VLOOKUP(Counties_by_State_Code[[#This Row],[State_Code]],Territory_by_Code[],2)</f>
        <v>Maryland</v>
      </c>
      <c r="C1226" t="s">
        <v>855</v>
      </c>
      <c r="D1226">
        <v>967201</v>
      </c>
      <c r="E1226">
        <v>483</v>
      </c>
    </row>
    <row r="1227" spans="1:5" x14ac:dyDescent="0.25">
      <c r="A1227" t="s">
        <v>844</v>
      </c>
      <c r="B1227" t="str">
        <f>VLOOKUP(Counties_by_State_Code[[#This Row],[State_Code]],Territory_by_Code[],2)</f>
        <v>Maryland</v>
      </c>
      <c r="C1227" t="s">
        <v>856</v>
      </c>
      <c r="D1227">
        <v>49874</v>
      </c>
      <c r="E1227">
        <v>372</v>
      </c>
    </row>
    <row r="1228" spans="1:5" x14ac:dyDescent="0.25">
      <c r="A1228" t="s">
        <v>844</v>
      </c>
      <c r="B1228" t="str">
        <f>VLOOKUP(Counties_by_State_Code[[#This Row],[State_Code]],Territory_by_Code[],2)</f>
        <v>Maryland</v>
      </c>
      <c r="C1228" t="s">
        <v>857</v>
      </c>
      <c r="D1228">
        <v>113777</v>
      </c>
      <c r="E1228">
        <v>357</v>
      </c>
    </row>
    <row r="1229" spans="1:5" x14ac:dyDescent="0.25">
      <c r="A1229" t="s">
        <v>844</v>
      </c>
      <c r="B1229" t="str">
        <f>VLOOKUP(Counties_by_State_Code[[#This Row],[State_Code]],Territory_by_Code[],2)</f>
        <v>Maryland</v>
      </c>
      <c r="C1229" t="s">
        <v>840</v>
      </c>
      <c r="D1229">
        <v>24620</v>
      </c>
      <c r="E1229">
        <v>611</v>
      </c>
    </row>
    <row r="1230" spans="1:5" x14ac:dyDescent="0.25">
      <c r="A1230" t="s">
        <v>844</v>
      </c>
      <c r="B1230" t="str">
        <f>VLOOKUP(Counties_by_State_Code[[#This Row],[State_Code]],Territory_by_Code[],2)</f>
        <v>Maryland</v>
      </c>
      <c r="C1230" t="s">
        <v>452</v>
      </c>
      <c r="D1230">
        <v>37526</v>
      </c>
      <c r="E1230">
        <v>267</v>
      </c>
    </row>
    <row r="1231" spans="1:5" x14ac:dyDescent="0.25">
      <c r="A1231" t="s">
        <v>844</v>
      </c>
      <c r="B1231" t="str">
        <f>VLOOKUP(Counties_by_State_Code[[#This Row],[State_Code]],Territory_by_Code[],2)</f>
        <v>Maryland</v>
      </c>
      <c r="C1231" t="s">
        <v>65</v>
      </c>
      <c r="D1231">
        <v>154705</v>
      </c>
      <c r="E1231">
        <v>458</v>
      </c>
    </row>
    <row r="1232" spans="1:5" x14ac:dyDescent="0.25">
      <c r="A1232" t="s">
        <v>844</v>
      </c>
      <c r="B1232" t="str">
        <f>VLOOKUP(Counties_by_State_Code[[#This Row],[State_Code]],Territory_by_Code[],2)</f>
        <v>Maryland</v>
      </c>
      <c r="C1232" t="s">
        <v>858</v>
      </c>
      <c r="D1232">
        <v>103588</v>
      </c>
      <c r="E1232">
        <v>374</v>
      </c>
    </row>
    <row r="1233" spans="1:5" x14ac:dyDescent="0.25">
      <c r="A1233" t="s">
        <v>844</v>
      </c>
      <c r="B1233" t="str">
        <f>VLOOKUP(Counties_by_State_Code[[#This Row],[State_Code]],Territory_by_Code[],2)</f>
        <v>Maryland</v>
      </c>
      <c r="C1233" t="s">
        <v>859</v>
      </c>
      <c r="D1233">
        <v>52460</v>
      </c>
      <c r="E1233">
        <v>468</v>
      </c>
    </row>
    <row r="1234" spans="1:5" x14ac:dyDescent="0.25">
      <c r="A1234" t="s">
        <v>844</v>
      </c>
      <c r="B1234" t="str">
        <f>VLOOKUP(Counties_by_State_Code[[#This Row],[State_Code]],Territory_by_Code[],2)</f>
        <v>Maryland</v>
      </c>
      <c r="C1234" t="s">
        <v>860</v>
      </c>
      <c r="D1234">
        <v>585708</v>
      </c>
      <c r="E1234">
        <v>80</v>
      </c>
    </row>
    <row r="1235" spans="1:5" x14ac:dyDescent="0.25">
      <c r="A1235" t="s">
        <v>862</v>
      </c>
      <c r="B1235" t="str">
        <f>VLOOKUP(Counties_by_State_Code[[#This Row],[State_Code]],Territory_by_Code[],2)</f>
        <v>Massachusetts</v>
      </c>
      <c r="C1235" t="s">
        <v>861</v>
      </c>
      <c r="D1235">
        <v>228996</v>
      </c>
      <c r="E1235">
        <v>396</v>
      </c>
    </row>
    <row r="1236" spans="1:5" x14ac:dyDescent="0.25">
      <c r="A1236" t="s">
        <v>862</v>
      </c>
      <c r="B1236" t="str">
        <f>VLOOKUP(Counties_by_State_Code[[#This Row],[State_Code]],Territory_by_Code[],2)</f>
        <v>Massachusetts</v>
      </c>
      <c r="C1236" t="s">
        <v>863</v>
      </c>
      <c r="D1236">
        <v>129026</v>
      </c>
      <c r="E1236">
        <v>931</v>
      </c>
    </row>
    <row r="1237" spans="1:5" x14ac:dyDescent="0.25">
      <c r="A1237" t="s">
        <v>862</v>
      </c>
      <c r="B1237" t="str">
        <f>VLOOKUP(Counties_by_State_Code[[#This Row],[State_Code]],Territory_by_Code[],2)</f>
        <v>Massachusetts</v>
      </c>
      <c r="C1237" t="s">
        <v>864</v>
      </c>
      <c r="D1237">
        <v>579200</v>
      </c>
      <c r="E1237">
        <v>556</v>
      </c>
    </row>
    <row r="1238" spans="1:5" x14ac:dyDescent="0.25">
      <c r="A1238" t="s">
        <v>862</v>
      </c>
      <c r="B1238" t="str">
        <f>VLOOKUP(Counties_by_State_Code[[#This Row],[State_Code]],Territory_by_Code[],2)</f>
        <v>Massachusetts</v>
      </c>
      <c r="C1238" t="s">
        <v>865</v>
      </c>
      <c r="D1238">
        <v>20600</v>
      </c>
      <c r="E1238">
        <v>104</v>
      </c>
    </row>
    <row r="1239" spans="1:5" x14ac:dyDescent="0.25">
      <c r="A1239" t="s">
        <v>862</v>
      </c>
      <c r="B1239" t="str">
        <f>VLOOKUP(Counties_by_State_Code[[#This Row],[State_Code]],Territory_by_Code[],2)</f>
        <v>Massachusetts</v>
      </c>
      <c r="C1239" t="s">
        <v>866</v>
      </c>
      <c r="D1239">
        <v>809829</v>
      </c>
      <c r="E1239">
        <v>498</v>
      </c>
    </row>
    <row r="1240" spans="1:5" x14ac:dyDescent="0.25">
      <c r="A1240" t="s">
        <v>862</v>
      </c>
      <c r="B1240" t="str">
        <f>VLOOKUP(Counties_by_State_Code[[#This Row],[State_Code]],Territory_by_Code[],2)</f>
        <v>Massachusetts</v>
      </c>
      <c r="C1240" t="s">
        <v>30</v>
      </c>
      <c r="D1240">
        <v>71029</v>
      </c>
      <c r="E1240">
        <v>702</v>
      </c>
    </row>
    <row r="1241" spans="1:5" x14ac:dyDescent="0.25">
      <c r="A1241" t="s">
        <v>862</v>
      </c>
      <c r="B1241" t="str">
        <f>VLOOKUP(Counties_by_State_Code[[#This Row],[State_Code]],Territory_by_Code[],2)</f>
        <v>Massachusetts</v>
      </c>
      <c r="C1241" t="s">
        <v>867</v>
      </c>
      <c r="D1241">
        <v>465825</v>
      </c>
      <c r="E1241">
        <v>618</v>
      </c>
    </row>
    <row r="1242" spans="1:5" x14ac:dyDescent="0.25">
      <c r="A1242" t="s">
        <v>862</v>
      </c>
      <c r="B1242" t="str">
        <f>VLOOKUP(Counties_by_State_Code[[#This Row],[State_Code]],Territory_by_Code[],2)</f>
        <v>Massachusetts</v>
      </c>
      <c r="C1242" t="s">
        <v>868</v>
      </c>
      <c r="D1242">
        <v>162308</v>
      </c>
      <c r="E1242">
        <v>529</v>
      </c>
    </row>
    <row r="1243" spans="1:5" x14ac:dyDescent="0.25">
      <c r="A1243" t="s">
        <v>862</v>
      </c>
      <c r="B1243" t="str">
        <f>VLOOKUP(Counties_by_State_Code[[#This Row],[State_Code]],Territory_by_Code[],2)</f>
        <v>Massachusetts</v>
      </c>
      <c r="C1243" t="s">
        <v>299</v>
      </c>
      <c r="D1243">
        <v>1632002</v>
      </c>
      <c r="E1243">
        <v>824</v>
      </c>
    </row>
    <row r="1244" spans="1:5" x14ac:dyDescent="0.25">
      <c r="A1244" t="s">
        <v>862</v>
      </c>
      <c r="B1244" t="str">
        <f>VLOOKUP(Counties_by_State_Code[[#This Row],[State_Code]],Territory_by_Code[],2)</f>
        <v>Massachusetts</v>
      </c>
      <c r="C1244" t="s">
        <v>869</v>
      </c>
      <c r="D1244">
        <v>14255</v>
      </c>
      <c r="E1244">
        <v>48</v>
      </c>
    </row>
    <row r="1245" spans="1:5" x14ac:dyDescent="0.25">
      <c r="A1245" t="s">
        <v>862</v>
      </c>
      <c r="B1245" t="str">
        <f>VLOOKUP(Counties_by_State_Code[[#This Row],[State_Code]],Territory_by_Code[],2)</f>
        <v>Massachusetts</v>
      </c>
      <c r="C1245" t="s">
        <v>870</v>
      </c>
      <c r="D1245">
        <v>725981</v>
      </c>
      <c r="E1245">
        <v>400</v>
      </c>
    </row>
    <row r="1246" spans="1:5" x14ac:dyDescent="0.25">
      <c r="A1246" t="s">
        <v>862</v>
      </c>
      <c r="B1246" t="str">
        <f>VLOOKUP(Counties_by_State_Code[[#This Row],[State_Code]],Territory_by_Code[],2)</f>
        <v>Massachusetts</v>
      </c>
      <c r="C1246" t="s">
        <v>647</v>
      </c>
      <c r="D1246">
        <v>530819</v>
      </c>
      <c r="E1246">
        <v>661</v>
      </c>
    </row>
    <row r="1247" spans="1:5" x14ac:dyDescent="0.25">
      <c r="A1247" t="s">
        <v>862</v>
      </c>
      <c r="B1247" t="str">
        <f>VLOOKUP(Counties_by_State_Code[[#This Row],[State_Code]],Territory_by_Code[],2)</f>
        <v>Massachusetts</v>
      </c>
      <c r="C1247" t="s">
        <v>871</v>
      </c>
      <c r="D1247">
        <v>797936</v>
      </c>
      <c r="E1247">
        <v>58</v>
      </c>
    </row>
    <row r="1248" spans="1:5" x14ac:dyDescent="0.25">
      <c r="A1248" t="s">
        <v>862</v>
      </c>
      <c r="B1248" t="str">
        <f>VLOOKUP(Counties_by_State_Code[[#This Row],[State_Code]],Territory_by_Code[],2)</f>
        <v>Massachusetts</v>
      </c>
      <c r="C1248" t="s">
        <v>859</v>
      </c>
      <c r="D1248">
        <v>862111</v>
      </c>
      <c r="E1248">
        <v>1513</v>
      </c>
    </row>
    <row r="1249" spans="1:5" x14ac:dyDescent="0.25">
      <c r="A1249" t="s">
        <v>873</v>
      </c>
      <c r="B1249" t="str">
        <f>VLOOKUP(Counties_by_State_Code[[#This Row],[State_Code]],Territory_by_Code[],2)</f>
        <v>Michigan</v>
      </c>
      <c r="C1249" t="s">
        <v>872</v>
      </c>
      <c r="D1249">
        <v>10167</v>
      </c>
      <c r="E1249">
        <v>1791</v>
      </c>
    </row>
    <row r="1250" spans="1:5" x14ac:dyDescent="0.25">
      <c r="A1250" t="s">
        <v>873</v>
      </c>
      <c r="B1250" t="str">
        <f>VLOOKUP(Counties_by_State_Code[[#This Row],[State_Code]],Territory_by_Code[],2)</f>
        <v>Michigan</v>
      </c>
      <c r="C1250" t="s">
        <v>874</v>
      </c>
      <c r="D1250">
        <v>8842</v>
      </c>
      <c r="E1250">
        <v>5049</v>
      </c>
    </row>
    <row r="1251" spans="1:5" x14ac:dyDescent="0.25">
      <c r="A1251" t="s">
        <v>873</v>
      </c>
      <c r="B1251" t="str">
        <f>VLOOKUP(Counties_by_State_Code[[#This Row],[State_Code]],Territory_by_Code[],2)</f>
        <v>Michigan</v>
      </c>
      <c r="C1251" t="s">
        <v>875</v>
      </c>
      <c r="D1251">
        <v>120502</v>
      </c>
      <c r="E1251">
        <v>1833</v>
      </c>
    </row>
    <row r="1252" spans="1:5" x14ac:dyDescent="0.25">
      <c r="A1252" t="s">
        <v>873</v>
      </c>
      <c r="B1252" t="str">
        <f>VLOOKUP(Counties_by_State_Code[[#This Row],[State_Code]],Territory_by_Code[],2)</f>
        <v>Michigan</v>
      </c>
      <c r="C1252" t="s">
        <v>876</v>
      </c>
      <c r="D1252">
        <v>28907</v>
      </c>
      <c r="E1252">
        <v>1695</v>
      </c>
    </row>
    <row r="1253" spans="1:5" x14ac:dyDescent="0.25">
      <c r="A1253" t="s">
        <v>873</v>
      </c>
      <c r="B1253" t="str">
        <f>VLOOKUP(Counties_by_State_Code[[#This Row],[State_Code]],Territory_by_Code[],2)</f>
        <v>Michigan</v>
      </c>
      <c r="C1253" t="s">
        <v>877</v>
      </c>
      <c r="D1253">
        <v>23431</v>
      </c>
      <c r="E1253">
        <v>602</v>
      </c>
    </row>
    <row r="1254" spans="1:5" x14ac:dyDescent="0.25">
      <c r="A1254" t="s">
        <v>873</v>
      </c>
      <c r="B1254" t="str">
        <f>VLOOKUP(Counties_by_State_Code[[#This Row],[State_Code]],Territory_by_Code[],2)</f>
        <v>Michigan</v>
      </c>
      <c r="C1254" t="s">
        <v>878</v>
      </c>
      <c r="D1254">
        <v>15002</v>
      </c>
      <c r="E1254">
        <v>681</v>
      </c>
    </row>
    <row r="1255" spans="1:5" x14ac:dyDescent="0.25">
      <c r="A1255" t="s">
        <v>873</v>
      </c>
      <c r="B1255" t="str">
        <f>VLOOKUP(Counties_by_State_Code[[#This Row],[State_Code]],Territory_by_Code[],2)</f>
        <v>Michigan</v>
      </c>
      <c r="C1255" t="s">
        <v>879</v>
      </c>
      <c r="D1255">
        <v>8158</v>
      </c>
      <c r="E1255">
        <v>1069</v>
      </c>
    </row>
    <row r="1256" spans="1:5" x14ac:dyDescent="0.25">
      <c r="A1256" t="s">
        <v>873</v>
      </c>
      <c r="B1256" t="str">
        <f>VLOOKUP(Counties_by_State_Code[[#This Row],[State_Code]],Territory_by_Code[],2)</f>
        <v>Michigan</v>
      </c>
      <c r="C1256" t="s">
        <v>880</v>
      </c>
      <c r="D1256">
        <v>62423</v>
      </c>
      <c r="E1256">
        <v>577</v>
      </c>
    </row>
    <row r="1257" spans="1:5" x14ac:dyDescent="0.25">
      <c r="A1257" t="s">
        <v>873</v>
      </c>
      <c r="B1257" t="str">
        <f>VLOOKUP(Counties_by_State_Code[[#This Row],[State_Code]],Territory_by_Code[],2)</f>
        <v>Michigan</v>
      </c>
      <c r="C1257" t="s">
        <v>319</v>
      </c>
      <c r="D1257">
        <v>103856</v>
      </c>
      <c r="E1257">
        <v>631</v>
      </c>
    </row>
    <row r="1258" spans="1:5" x14ac:dyDescent="0.25">
      <c r="A1258" t="s">
        <v>873</v>
      </c>
      <c r="B1258" t="str">
        <f>VLOOKUP(Counties_by_State_Code[[#This Row],[State_Code]],Territory_by_Code[],2)</f>
        <v>Michigan</v>
      </c>
      <c r="C1258" t="s">
        <v>881</v>
      </c>
      <c r="D1258">
        <v>17970</v>
      </c>
      <c r="E1258">
        <v>860</v>
      </c>
    </row>
    <row r="1259" spans="1:5" x14ac:dyDescent="0.25">
      <c r="A1259" t="s">
        <v>873</v>
      </c>
      <c r="B1259" t="str">
        <f>VLOOKUP(Counties_by_State_Code[[#This Row],[State_Code]],Territory_by_Code[],2)</f>
        <v>Michigan</v>
      </c>
      <c r="C1259" t="s">
        <v>374</v>
      </c>
      <c r="D1259">
        <v>154316</v>
      </c>
      <c r="E1259">
        <v>1581</v>
      </c>
    </row>
    <row r="1260" spans="1:5" x14ac:dyDescent="0.25">
      <c r="A1260" t="s">
        <v>873</v>
      </c>
      <c r="B1260" t="str">
        <f>VLOOKUP(Counties_by_State_Code[[#This Row],[State_Code]],Territory_by_Code[],2)</f>
        <v>Michigan</v>
      </c>
      <c r="C1260" t="s">
        <v>882</v>
      </c>
      <c r="D1260">
        <v>44862</v>
      </c>
      <c r="E1260">
        <v>519</v>
      </c>
    </row>
    <row r="1261" spans="1:5" x14ac:dyDescent="0.25">
      <c r="A1261" t="s">
        <v>873</v>
      </c>
      <c r="B1261" t="str">
        <f>VLOOKUP(Counties_by_State_Code[[#This Row],[State_Code]],Territory_by_Code[],2)</f>
        <v>Michigan</v>
      </c>
      <c r="C1261" t="s">
        <v>8</v>
      </c>
      <c r="D1261">
        <v>134310</v>
      </c>
      <c r="E1261">
        <v>718</v>
      </c>
    </row>
    <row r="1262" spans="1:5" x14ac:dyDescent="0.25">
      <c r="A1262" t="s">
        <v>873</v>
      </c>
      <c r="B1262" t="str">
        <f>VLOOKUP(Counties_by_State_Code[[#This Row],[State_Code]],Territory_by_Code[],2)</f>
        <v>Michigan</v>
      </c>
      <c r="C1262" t="s">
        <v>522</v>
      </c>
      <c r="D1262">
        <v>51589</v>
      </c>
      <c r="E1262">
        <v>508</v>
      </c>
    </row>
    <row r="1263" spans="1:5" x14ac:dyDescent="0.25">
      <c r="A1263" t="s">
        <v>873</v>
      </c>
      <c r="B1263" t="str">
        <f>VLOOKUP(Counties_by_State_Code[[#This Row],[State_Code]],Territory_by_Code[],2)</f>
        <v>Michigan</v>
      </c>
      <c r="C1263" t="s">
        <v>883</v>
      </c>
      <c r="D1263">
        <v>26054</v>
      </c>
      <c r="E1263">
        <v>1391</v>
      </c>
    </row>
    <row r="1264" spans="1:5" x14ac:dyDescent="0.25">
      <c r="A1264" t="s">
        <v>873</v>
      </c>
      <c r="B1264" t="str">
        <f>VLOOKUP(Counties_by_State_Code[[#This Row],[State_Code]],Territory_by_Code[],2)</f>
        <v>Michigan</v>
      </c>
      <c r="C1264" t="s">
        <v>884</v>
      </c>
      <c r="D1264">
        <v>25579</v>
      </c>
      <c r="E1264">
        <v>885</v>
      </c>
    </row>
    <row r="1265" spans="1:5" x14ac:dyDescent="0.25">
      <c r="A1265" t="s">
        <v>873</v>
      </c>
      <c r="B1265" t="str">
        <f>VLOOKUP(Counties_by_State_Code[[#This Row],[State_Code]],Territory_by_Code[],2)</f>
        <v>Michigan</v>
      </c>
      <c r="C1265" t="s">
        <v>885</v>
      </c>
      <c r="D1265">
        <v>36785</v>
      </c>
      <c r="E1265">
        <v>2698</v>
      </c>
    </row>
    <row r="1266" spans="1:5" x14ac:dyDescent="0.25">
      <c r="A1266" t="s">
        <v>873</v>
      </c>
      <c r="B1266" t="str">
        <f>VLOOKUP(Counties_by_State_Code[[#This Row],[State_Code]],Territory_by_Code[],2)</f>
        <v>Michigan</v>
      </c>
      <c r="C1266" t="s">
        <v>886</v>
      </c>
      <c r="D1266">
        <v>30856</v>
      </c>
      <c r="E1266">
        <v>885</v>
      </c>
    </row>
    <row r="1267" spans="1:5" x14ac:dyDescent="0.25">
      <c r="A1267" t="s">
        <v>873</v>
      </c>
      <c r="B1267" t="str">
        <f>VLOOKUP(Counties_by_State_Code[[#This Row],[State_Code]],Territory_by_Code[],2)</f>
        <v>Michigan</v>
      </c>
      <c r="C1267" t="s">
        <v>525</v>
      </c>
      <c r="D1267">
        <v>79128</v>
      </c>
      <c r="E1267">
        <v>575</v>
      </c>
    </row>
    <row r="1268" spans="1:5" x14ac:dyDescent="0.25">
      <c r="A1268" t="s">
        <v>873</v>
      </c>
      <c r="B1268" t="str">
        <f>VLOOKUP(Counties_by_State_Code[[#This Row],[State_Code]],Territory_by_Code[],2)</f>
        <v>Michigan</v>
      </c>
      <c r="C1268" t="s">
        <v>135</v>
      </c>
      <c r="D1268">
        <v>12988</v>
      </c>
      <c r="E1268">
        <v>563</v>
      </c>
    </row>
    <row r="1269" spans="1:5" x14ac:dyDescent="0.25">
      <c r="A1269" t="s">
        <v>873</v>
      </c>
      <c r="B1269" t="str">
        <f>VLOOKUP(Counties_by_State_Code[[#This Row],[State_Code]],Territory_by_Code[],2)</f>
        <v>Michigan</v>
      </c>
      <c r="C1269" t="s">
        <v>252</v>
      </c>
      <c r="D1269">
        <v>36903</v>
      </c>
      <c r="E1269">
        <v>1992</v>
      </c>
    </row>
    <row r="1270" spans="1:5" x14ac:dyDescent="0.25">
      <c r="A1270" t="s">
        <v>873</v>
      </c>
      <c r="B1270" t="str">
        <f>VLOOKUP(Counties_by_State_Code[[#This Row],[State_Code]],Territory_by_Code[],2)</f>
        <v>Michigan</v>
      </c>
      <c r="C1270" t="s">
        <v>628</v>
      </c>
      <c r="D1270">
        <v>25947</v>
      </c>
      <c r="E1270">
        <v>777</v>
      </c>
    </row>
    <row r="1271" spans="1:5" x14ac:dyDescent="0.25">
      <c r="A1271" t="s">
        <v>873</v>
      </c>
      <c r="B1271" t="str">
        <f>VLOOKUP(Counties_by_State_Code[[#This Row],[State_Code]],Territory_by_Code[],2)</f>
        <v>Michigan</v>
      </c>
      <c r="C1271" t="s">
        <v>887</v>
      </c>
      <c r="D1271">
        <v>109175</v>
      </c>
      <c r="E1271">
        <v>579</v>
      </c>
    </row>
    <row r="1272" spans="1:5" x14ac:dyDescent="0.25">
      <c r="A1272" t="s">
        <v>873</v>
      </c>
      <c r="B1272" t="str">
        <f>VLOOKUP(Counties_by_State_Code[[#This Row],[State_Code]],Territory_by_Code[],2)</f>
        <v>Michigan</v>
      </c>
      <c r="C1272" t="s">
        <v>630</v>
      </c>
      <c r="D1272">
        <v>34112</v>
      </c>
      <c r="E1272">
        <v>882</v>
      </c>
    </row>
    <row r="1273" spans="1:5" x14ac:dyDescent="0.25">
      <c r="A1273" t="s">
        <v>873</v>
      </c>
      <c r="B1273" t="str">
        <f>VLOOKUP(Counties_by_State_Code[[#This Row],[State_Code]],Territory_by_Code[],2)</f>
        <v>Michigan</v>
      </c>
      <c r="C1273" t="s">
        <v>888</v>
      </c>
      <c r="D1273">
        <v>406211</v>
      </c>
      <c r="E1273">
        <v>649</v>
      </c>
    </row>
    <row r="1274" spans="1:5" x14ac:dyDescent="0.25">
      <c r="A1274" t="s">
        <v>873</v>
      </c>
      <c r="B1274" t="str">
        <f>VLOOKUP(Counties_by_State_Code[[#This Row],[State_Code]],Territory_by_Code[],2)</f>
        <v>Michigan</v>
      </c>
      <c r="C1274" t="s">
        <v>889</v>
      </c>
      <c r="D1274">
        <v>25386</v>
      </c>
      <c r="E1274">
        <v>516</v>
      </c>
    </row>
    <row r="1275" spans="1:5" x14ac:dyDescent="0.25">
      <c r="A1275" t="s">
        <v>873</v>
      </c>
      <c r="B1275" t="str">
        <f>VLOOKUP(Counties_by_State_Code[[#This Row],[State_Code]],Territory_by_Code[],2)</f>
        <v>Michigan</v>
      </c>
      <c r="C1275" t="s">
        <v>890</v>
      </c>
      <c r="D1275">
        <v>14380</v>
      </c>
      <c r="E1275">
        <v>1476</v>
      </c>
    </row>
    <row r="1276" spans="1:5" x14ac:dyDescent="0.25">
      <c r="A1276" t="s">
        <v>873</v>
      </c>
      <c r="B1276" t="str">
        <f>VLOOKUP(Counties_by_State_Code[[#This Row],[State_Code]],Territory_by_Code[],2)</f>
        <v>Michigan</v>
      </c>
      <c r="C1276" t="s">
        <v>891</v>
      </c>
      <c r="D1276">
        <v>95238</v>
      </c>
      <c r="E1276">
        <v>601</v>
      </c>
    </row>
    <row r="1277" spans="1:5" x14ac:dyDescent="0.25">
      <c r="A1277" t="s">
        <v>873</v>
      </c>
      <c r="B1277" t="str">
        <f>VLOOKUP(Counties_by_State_Code[[#This Row],[State_Code]],Territory_by_Code[],2)</f>
        <v>Michigan</v>
      </c>
      <c r="C1277" t="s">
        <v>892</v>
      </c>
      <c r="D1277">
        <v>41761</v>
      </c>
      <c r="E1277">
        <v>572</v>
      </c>
    </row>
    <row r="1278" spans="1:5" x14ac:dyDescent="0.25">
      <c r="A1278" t="s">
        <v>873</v>
      </c>
      <c r="B1278" t="str">
        <f>VLOOKUP(Counties_by_State_Code[[#This Row],[State_Code]],Territory_by_Code[],2)</f>
        <v>Michigan</v>
      </c>
      <c r="C1278" t="s">
        <v>893</v>
      </c>
      <c r="D1278">
        <v>45746</v>
      </c>
      <c r="E1278">
        <v>607</v>
      </c>
    </row>
    <row r="1279" spans="1:5" x14ac:dyDescent="0.25">
      <c r="A1279" t="s">
        <v>873</v>
      </c>
      <c r="B1279" t="str">
        <f>VLOOKUP(Counties_by_State_Code[[#This Row],[State_Code]],Territory_by_Code[],2)</f>
        <v>Michigan</v>
      </c>
      <c r="C1279" t="s">
        <v>894</v>
      </c>
      <c r="D1279">
        <v>37361</v>
      </c>
      <c r="E1279">
        <v>1502</v>
      </c>
    </row>
    <row r="1280" spans="1:5" x14ac:dyDescent="0.25">
      <c r="A1280" t="s">
        <v>873</v>
      </c>
      <c r="B1280" t="str">
        <f>VLOOKUP(Counties_by_State_Code[[#This Row],[State_Code]],Territory_by_Code[],2)</f>
        <v>Michigan</v>
      </c>
      <c r="C1280" t="s">
        <v>895</v>
      </c>
      <c r="D1280">
        <v>31407</v>
      </c>
      <c r="E1280">
        <v>2136</v>
      </c>
    </row>
    <row r="1281" spans="1:5" x14ac:dyDescent="0.25">
      <c r="A1281" t="s">
        <v>873</v>
      </c>
      <c r="B1281" t="str">
        <f>VLOOKUP(Counties_by_State_Code[[#This Row],[State_Code]],Territory_by_Code[],2)</f>
        <v>Michigan</v>
      </c>
      <c r="C1281" t="s">
        <v>896</v>
      </c>
      <c r="D1281">
        <v>284900</v>
      </c>
      <c r="E1281">
        <v>561</v>
      </c>
    </row>
    <row r="1282" spans="1:5" x14ac:dyDescent="0.25">
      <c r="A1282" t="s">
        <v>873</v>
      </c>
      <c r="B1282" t="str">
        <f>VLOOKUP(Counties_by_State_Code[[#This Row],[State_Code]],Territory_by_Code[],2)</f>
        <v>Michigan</v>
      </c>
      <c r="C1282" t="s">
        <v>897</v>
      </c>
      <c r="D1282">
        <v>66804</v>
      </c>
      <c r="E1282">
        <v>580</v>
      </c>
    </row>
    <row r="1283" spans="1:5" x14ac:dyDescent="0.25">
      <c r="A1283" t="s">
        <v>873</v>
      </c>
      <c r="B1283" t="str">
        <f>VLOOKUP(Counties_by_State_Code[[#This Row],[State_Code]],Territory_by_Code[],2)</f>
        <v>Michigan</v>
      </c>
      <c r="C1283" t="s">
        <v>898</v>
      </c>
      <c r="D1283">
        <v>25237</v>
      </c>
      <c r="E1283">
        <v>1891</v>
      </c>
    </row>
    <row r="1284" spans="1:5" x14ac:dyDescent="0.25">
      <c r="A1284" t="s">
        <v>873</v>
      </c>
      <c r="B1284" t="str">
        <f>VLOOKUP(Counties_by_State_Code[[#This Row],[State_Code]],Territory_by_Code[],2)</f>
        <v>Michigan</v>
      </c>
      <c r="C1284" t="s">
        <v>899</v>
      </c>
      <c r="D1284">
        <v>11631</v>
      </c>
      <c r="E1284">
        <v>1211</v>
      </c>
    </row>
    <row r="1285" spans="1:5" x14ac:dyDescent="0.25">
      <c r="A1285" t="s">
        <v>873</v>
      </c>
      <c r="B1285" t="str">
        <f>VLOOKUP(Counties_by_State_Code[[#This Row],[State_Code]],Territory_by_Code[],2)</f>
        <v>Michigan</v>
      </c>
      <c r="C1285" t="s">
        <v>900</v>
      </c>
      <c r="D1285">
        <v>64394</v>
      </c>
      <c r="E1285">
        <v>578</v>
      </c>
    </row>
    <row r="1286" spans="1:5" x14ac:dyDescent="0.25">
      <c r="A1286" t="s">
        <v>873</v>
      </c>
      <c r="B1286" t="str">
        <f>VLOOKUP(Counties_by_State_Code[[#This Row],[State_Code]],Territory_by_Code[],2)</f>
        <v>Michigan</v>
      </c>
      <c r="C1286" t="s">
        <v>36</v>
      </c>
      <c r="D1286">
        <v>160366</v>
      </c>
      <c r="E1286">
        <v>724</v>
      </c>
    </row>
    <row r="1287" spans="1:5" x14ac:dyDescent="0.25">
      <c r="A1287" t="s">
        <v>873</v>
      </c>
      <c r="B1287" t="str">
        <f>VLOOKUP(Counties_by_State_Code[[#This Row],[State_Code]],Territory_by_Code[],2)</f>
        <v>Michigan</v>
      </c>
      <c r="C1287" t="s">
        <v>901</v>
      </c>
      <c r="D1287">
        <v>261670</v>
      </c>
      <c r="E1287">
        <v>580</v>
      </c>
    </row>
    <row r="1288" spans="1:5" x14ac:dyDescent="0.25">
      <c r="A1288" t="s">
        <v>873</v>
      </c>
      <c r="B1288" t="str">
        <f>VLOOKUP(Counties_by_State_Code[[#This Row],[State_Code]],Territory_by_Code[],2)</f>
        <v>Michigan</v>
      </c>
      <c r="C1288" t="s">
        <v>902</v>
      </c>
      <c r="D1288">
        <v>17939</v>
      </c>
      <c r="E1288">
        <v>571</v>
      </c>
    </row>
    <row r="1289" spans="1:5" x14ac:dyDescent="0.25">
      <c r="A1289" t="s">
        <v>873</v>
      </c>
      <c r="B1289" t="str">
        <f>VLOOKUP(Counties_by_State_Code[[#This Row],[State_Code]],Territory_by_Code[],2)</f>
        <v>Michigan</v>
      </c>
      <c r="C1289" t="s">
        <v>310</v>
      </c>
      <c r="D1289">
        <v>657974</v>
      </c>
      <c r="E1289">
        <v>872</v>
      </c>
    </row>
    <row r="1290" spans="1:5" x14ac:dyDescent="0.25">
      <c r="A1290" t="s">
        <v>873</v>
      </c>
      <c r="B1290" t="str">
        <f>VLOOKUP(Counties_by_State_Code[[#This Row],[State_Code]],Territory_by_Code[],2)</f>
        <v>Michigan</v>
      </c>
      <c r="C1290" t="s">
        <v>903</v>
      </c>
      <c r="D1290">
        <v>2046</v>
      </c>
      <c r="E1290">
        <v>5966</v>
      </c>
    </row>
    <row r="1291" spans="1:5" x14ac:dyDescent="0.25">
      <c r="A1291" t="s">
        <v>873</v>
      </c>
      <c r="B1291" t="str">
        <f>VLOOKUP(Counties_by_State_Code[[#This Row],[State_Code]],Territory_by_Code[],2)</f>
        <v>Michigan</v>
      </c>
      <c r="C1291" t="s">
        <v>196</v>
      </c>
      <c r="D1291">
        <v>12096</v>
      </c>
      <c r="E1291">
        <v>575</v>
      </c>
    </row>
    <row r="1292" spans="1:5" x14ac:dyDescent="0.25">
      <c r="A1292" t="s">
        <v>873</v>
      </c>
      <c r="B1292" t="str">
        <f>VLOOKUP(Counties_by_State_Code[[#This Row],[State_Code]],Territory_by_Code[],2)</f>
        <v>Michigan</v>
      </c>
      <c r="C1292" t="s">
        <v>904</v>
      </c>
      <c r="D1292">
        <v>88619</v>
      </c>
      <c r="E1292">
        <v>663</v>
      </c>
    </row>
    <row r="1293" spans="1:5" x14ac:dyDescent="0.25">
      <c r="A1293" t="s">
        <v>873</v>
      </c>
      <c r="B1293" t="str">
        <f>VLOOKUP(Counties_by_State_Code[[#This Row],[State_Code]],Territory_by_Code[],2)</f>
        <v>Michigan</v>
      </c>
      <c r="C1293" t="s">
        <v>905</v>
      </c>
      <c r="D1293">
        <v>22301</v>
      </c>
      <c r="E1293">
        <v>2532</v>
      </c>
    </row>
    <row r="1294" spans="1:5" x14ac:dyDescent="0.25">
      <c r="A1294" t="s">
        <v>873</v>
      </c>
      <c r="B1294" t="str">
        <f>VLOOKUP(Counties_by_State_Code[[#This Row],[State_Code]],Territory_by_Code[],2)</f>
        <v>Michigan</v>
      </c>
      <c r="C1294" t="s">
        <v>906</v>
      </c>
      <c r="D1294">
        <v>99423</v>
      </c>
      <c r="E1294">
        <v>761</v>
      </c>
    </row>
    <row r="1295" spans="1:5" x14ac:dyDescent="0.25">
      <c r="A1295" t="s">
        <v>873</v>
      </c>
      <c r="B1295" t="str">
        <f>VLOOKUP(Counties_by_State_Code[[#This Row],[State_Code]],Territory_by_Code[],2)</f>
        <v>Michigan</v>
      </c>
      <c r="C1295" t="s">
        <v>545</v>
      </c>
      <c r="D1295">
        <v>193866</v>
      </c>
      <c r="E1295">
        <v>585</v>
      </c>
    </row>
    <row r="1296" spans="1:5" x14ac:dyDescent="0.25">
      <c r="A1296" t="s">
        <v>873</v>
      </c>
      <c r="B1296" t="str">
        <f>VLOOKUP(Counties_by_State_Code[[#This Row],[State_Code]],Territory_by_Code[],2)</f>
        <v>Michigan</v>
      </c>
      <c r="C1296" t="s">
        <v>907</v>
      </c>
      <c r="D1296">
        <v>5339</v>
      </c>
      <c r="E1296">
        <v>1912</v>
      </c>
    </row>
    <row r="1297" spans="1:5" x14ac:dyDescent="0.25">
      <c r="A1297" t="s">
        <v>873</v>
      </c>
      <c r="B1297" t="str">
        <f>VLOOKUP(Counties_by_State_Code[[#This Row],[State_Code]],Territory_by_Code[],2)</f>
        <v>Michigan</v>
      </c>
      <c r="C1297" t="s">
        <v>908</v>
      </c>
      <c r="D1297">
        <v>10834</v>
      </c>
      <c r="E1297">
        <v>2101</v>
      </c>
    </row>
    <row r="1298" spans="1:5" x14ac:dyDescent="0.25">
      <c r="A1298" t="s">
        <v>873</v>
      </c>
      <c r="B1298" t="str">
        <f>VLOOKUP(Counties_by_State_Code[[#This Row],[State_Code]],Territory_by_Code[],2)</f>
        <v>Michigan</v>
      </c>
      <c r="C1298" t="s">
        <v>909</v>
      </c>
      <c r="D1298">
        <v>881217</v>
      </c>
      <c r="E1298">
        <v>570</v>
      </c>
    </row>
    <row r="1299" spans="1:5" x14ac:dyDescent="0.25">
      <c r="A1299" t="s">
        <v>873</v>
      </c>
      <c r="B1299" t="str">
        <f>VLOOKUP(Counties_by_State_Code[[#This Row],[State_Code]],Territory_by_Code[],2)</f>
        <v>Michigan</v>
      </c>
      <c r="C1299" t="s">
        <v>910</v>
      </c>
      <c r="D1299">
        <v>25032</v>
      </c>
      <c r="E1299">
        <v>1281</v>
      </c>
    </row>
    <row r="1300" spans="1:5" x14ac:dyDescent="0.25">
      <c r="A1300" t="s">
        <v>873</v>
      </c>
      <c r="B1300" t="str">
        <f>VLOOKUP(Counties_by_State_Code[[#This Row],[State_Code]],Territory_by_Code[],2)</f>
        <v>Michigan</v>
      </c>
      <c r="C1300" t="s">
        <v>911</v>
      </c>
      <c r="D1300">
        <v>66017</v>
      </c>
      <c r="E1300">
        <v>3425</v>
      </c>
    </row>
    <row r="1301" spans="1:5" x14ac:dyDescent="0.25">
      <c r="A1301" t="s">
        <v>873</v>
      </c>
      <c r="B1301" t="str">
        <f>VLOOKUP(Counties_by_State_Code[[#This Row],[State_Code]],Territory_by_Code[],2)</f>
        <v>Michigan</v>
      </c>
      <c r="C1301" t="s">
        <v>547</v>
      </c>
      <c r="D1301">
        <v>29052</v>
      </c>
      <c r="E1301">
        <v>1242</v>
      </c>
    </row>
    <row r="1302" spans="1:5" x14ac:dyDescent="0.25">
      <c r="A1302" t="s">
        <v>873</v>
      </c>
      <c r="B1302" t="str">
        <f>VLOOKUP(Counties_by_State_Code[[#This Row],[State_Code]],Territory_by_Code[],2)</f>
        <v>Michigan</v>
      </c>
      <c r="C1302" t="s">
        <v>912</v>
      </c>
      <c r="D1302">
        <v>39714</v>
      </c>
      <c r="E1302">
        <v>571</v>
      </c>
    </row>
    <row r="1303" spans="1:5" x14ac:dyDescent="0.25">
      <c r="A1303" t="s">
        <v>873</v>
      </c>
      <c r="B1303" t="str">
        <f>VLOOKUP(Counties_by_State_Code[[#This Row],[State_Code]],Territory_by_Code[],2)</f>
        <v>Michigan</v>
      </c>
      <c r="C1303" t="s">
        <v>913</v>
      </c>
      <c r="D1303">
        <v>23502</v>
      </c>
      <c r="E1303">
        <v>1338</v>
      </c>
    </row>
    <row r="1304" spans="1:5" x14ac:dyDescent="0.25">
      <c r="A1304" t="s">
        <v>873</v>
      </c>
      <c r="B1304" t="str">
        <f>VLOOKUP(Counties_by_State_Code[[#This Row],[State_Code]],Territory_by_Code[],2)</f>
        <v>Michigan</v>
      </c>
      <c r="C1304" t="s">
        <v>914</v>
      </c>
      <c r="D1304">
        <v>83494</v>
      </c>
      <c r="E1304">
        <v>528</v>
      </c>
    </row>
    <row r="1305" spans="1:5" x14ac:dyDescent="0.25">
      <c r="A1305" t="s">
        <v>873</v>
      </c>
      <c r="B1305" t="str">
        <f>VLOOKUP(Counties_by_State_Code[[#This Row],[State_Code]],Territory_by_Code[],2)</f>
        <v>Michigan</v>
      </c>
      <c r="C1305" t="s">
        <v>915</v>
      </c>
      <c r="D1305">
        <v>15052</v>
      </c>
      <c r="E1305">
        <v>574</v>
      </c>
    </row>
    <row r="1306" spans="1:5" x14ac:dyDescent="0.25">
      <c r="A1306" t="s">
        <v>873</v>
      </c>
      <c r="B1306" t="str">
        <f>VLOOKUP(Counties_by_State_Code[[#This Row],[State_Code]],Territory_by_Code[],2)</f>
        <v>Michigan</v>
      </c>
      <c r="C1306" t="s">
        <v>50</v>
      </c>
      <c r="D1306">
        <v>154809</v>
      </c>
      <c r="E1306">
        <v>680</v>
      </c>
    </row>
    <row r="1307" spans="1:5" x14ac:dyDescent="0.25">
      <c r="A1307" t="s">
        <v>873</v>
      </c>
      <c r="B1307" t="str">
        <f>VLOOKUP(Counties_by_State_Code[[#This Row],[State_Code]],Territory_by_Code[],2)</f>
        <v>Michigan</v>
      </c>
      <c r="C1307" t="s">
        <v>916</v>
      </c>
      <c r="D1307">
        <v>66614</v>
      </c>
      <c r="E1307">
        <v>721</v>
      </c>
    </row>
    <row r="1308" spans="1:5" x14ac:dyDescent="0.25">
      <c r="A1308" t="s">
        <v>873</v>
      </c>
      <c r="B1308" t="str">
        <f>VLOOKUP(Counties_by_State_Code[[#This Row],[State_Code]],Territory_by_Code[],2)</f>
        <v>Michigan</v>
      </c>
      <c r="C1308" t="s">
        <v>917</v>
      </c>
      <c r="D1308">
        <v>9153</v>
      </c>
      <c r="E1308">
        <v>562</v>
      </c>
    </row>
    <row r="1309" spans="1:5" x14ac:dyDescent="0.25">
      <c r="A1309" t="s">
        <v>873</v>
      </c>
      <c r="B1309" t="str">
        <f>VLOOKUP(Counties_by_State_Code[[#This Row],[State_Code]],Territory_by_Code[],2)</f>
        <v>Michigan</v>
      </c>
      <c r="C1309" t="s">
        <v>918</v>
      </c>
      <c r="D1309">
        <v>175824</v>
      </c>
      <c r="E1309">
        <v>1459</v>
      </c>
    </row>
    <row r="1310" spans="1:5" x14ac:dyDescent="0.25">
      <c r="A1310" t="s">
        <v>873</v>
      </c>
      <c r="B1310" t="str">
        <f>VLOOKUP(Counties_by_State_Code[[#This Row],[State_Code]],Territory_by_Code[],2)</f>
        <v>Michigan</v>
      </c>
      <c r="C1310" t="s">
        <v>919</v>
      </c>
      <c r="D1310">
        <v>49978</v>
      </c>
      <c r="E1310">
        <v>861</v>
      </c>
    </row>
    <row r="1311" spans="1:5" x14ac:dyDescent="0.25">
      <c r="A1311" t="s">
        <v>873</v>
      </c>
      <c r="B1311" t="str">
        <f>VLOOKUP(Counties_by_State_Code[[#This Row],[State_Code]],Territory_by_Code[],2)</f>
        <v>Michigan</v>
      </c>
      <c r="C1311" t="s">
        <v>920</v>
      </c>
      <c r="D1311">
        <v>1274395</v>
      </c>
      <c r="E1311">
        <v>908</v>
      </c>
    </row>
    <row r="1312" spans="1:5" x14ac:dyDescent="0.25">
      <c r="A1312" t="s">
        <v>873</v>
      </c>
      <c r="B1312" t="str">
        <f>VLOOKUP(Counties_by_State_Code[[#This Row],[State_Code]],Territory_by_Code[],2)</f>
        <v>Michigan</v>
      </c>
      <c r="C1312" t="s">
        <v>921</v>
      </c>
      <c r="D1312">
        <v>26659</v>
      </c>
      <c r="E1312">
        <v>1307</v>
      </c>
    </row>
    <row r="1313" spans="1:5" x14ac:dyDescent="0.25">
      <c r="A1313" t="s">
        <v>873</v>
      </c>
      <c r="B1313" t="str">
        <f>VLOOKUP(Counties_by_State_Code[[#This Row],[State_Code]],Territory_by_Code[],2)</f>
        <v>Michigan</v>
      </c>
      <c r="C1313" t="s">
        <v>922</v>
      </c>
      <c r="D1313">
        <v>20770</v>
      </c>
      <c r="E1313">
        <v>575</v>
      </c>
    </row>
    <row r="1314" spans="1:5" x14ac:dyDescent="0.25">
      <c r="A1314" t="s">
        <v>873</v>
      </c>
      <c r="B1314" t="str">
        <f>VLOOKUP(Counties_by_State_Code[[#This Row],[State_Code]],Territory_by_Code[],2)</f>
        <v>Michigan</v>
      </c>
      <c r="C1314" t="s">
        <v>923</v>
      </c>
      <c r="D1314">
        <v>5816</v>
      </c>
      <c r="E1314">
        <v>3741</v>
      </c>
    </row>
    <row r="1315" spans="1:5" x14ac:dyDescent="0.25">
      <c r="A1315" t="s">
        <v>873</v>
      </c>
      <c r="B1315" t="str">
        <f>VLOOKUP(Counties_by_State_Code[[#This Row],[State_Code]],Territory_by_Code[],2)</f>
        <v>Michigan</v>
      </c>
      <c r="C1315" t="s">
        <v>351</v>
      </c>
      <c r="D1315">
        <v>22891</v>
      </c>
      <c r="E1315">
        <v>573</v>
      </c>
    </row>
    <row r="1316" spans="1:5" x14ac:dyDescent="0.25">
      <c r="A1316" t="s">
        <v>873</v>
      </c>
      <c r="B1316" t="str">
        <f>VLOOKUP(Counties_by_State_Code[[#This Row],[State_Code]],Territory_by_Code[],2)</f>
        <v>Michigan</v>
      </c>
      <c r="C1316" t="s">
        <v>924</v>
      </c>
      <c r="D1316">
        <v>8219</v>
      </c>
      <c r="E1316">
        <v>572</v>
      </c>
    </row>
    <row r="1317" spans="1:5" x14ac:dyDescent="0.25">
      <c r="A1317" t="s">
        <v>873</v>
      </c>
      <c r="B1317" t="str">
        <f>VLOOKUP(Counties_by_State_Code[[#This Row],[State_Code]],Territory_by_Code[],2)</f>
        <v>Michigan</v>
      </c>
      <c r="C1317" t="s">
        <v>925</v>
      </c>
      <c r="D1317">
        <v>25091</v>
      </c>
      <c r="E1317">
        <v>526</v>
      </c>
    </row>
    <row r="1318" spans="1:5" x14ac:dyDescent="0.25">
      <c r="A1318" t="s">
        <v>873</v>
      </c>
      <c r="B1318" t="str">
        <f>VLOOKUP(Counties_by_State_Code[[#This Row],[State_Code]],Territory_by_Code[],2)</f>
        <v>Michigan</v>
      </c>
      <c r="C1318" t="s">
        <v>702</v>
      </c>
      <c r="D1318">
        <v>296200</v>
      </c>
      <c r="E1318">
        <v>1632</v>
      </c>
    </row>
    <row r="1319" spans="1:5" x14ac:dyDescent="0.25">
      <c r="A1319" t="s">
        <v>873</v>
      </c>
      <c r="B1319" t="str">
        <f>VLOOKUP(Counties_by_State_Code[[#This Row],[State_Code]],Territory_by_Code[],2)</f>
        <v>Michigan</v>
      </c>
      <c r="C1319" t="s">
        <v>926</v>
      </c>
      <c r="D1319">
        <v>12982</v>
      </c>
      <c r="E1319">
        <v>2573</v>
      </c>
    </row>
    <row r="1320" spans="1:5" x14ac:dyDescent="0.25">
      <c r="A1320" t="s">
        <v>873</v>
      </c>
      <c r="B1320" t="str">
        <f>VLOOKUP(Counties_by_State_Code[[#This Row],[State_Code]],Territory_by_Code[],2)</f>
        <v>Michigan</v>
      </c>
      <c r="C1320" t="s">
        <v>927</v>
      </c>
      <c r="D1320">
        <v>23459</v>
      </c>
      <c r="E1320">
        <v>580</v>
      </c>
    </row>
    <row r="1321" spans="1:5" x14ac:dyDescent="0.25">
      <c r="A1321" t="s">
        <v>873</v>
      </c>
      <c r="B1321" t="str">
        <f>VLOOKUP(Counties_by_State_Code[[#This Row],[State_Code]],Territory_by_Code[],2)</f>
        <v>Michigan</v>
      </c>
      <c r="C1321" t="s">
        <v>928</v>
      </c>
      <c r="D1321">
        <v>190124</v>
      </c>
      <c r="E1321">
        <v>816</v>
      </c>
    </row>
    <row r="1322" spans="1:5" x14ac:dyDescent="0.25">
      <c r="A1322" t="s">
        <v>873</v>
      </c>
      <c r="B1322" t="str">
        <f>VLOOKUP(Counties_by_State_Code[[#This Row],[State_Code]],Territory_by_Code[],2)</f>
        <v>Michigan</v>
      </c>
      <c r="C1322" t="s">
        <v>59</v>
      </c>
      <c r="D1322">
        <v>160383</v>
      </c>
      <c r="E1322">
        <v>837</v>
      </c>
    </row>
    <row r="1323" spans="1:5" x14ac:dyDescent="0.25">
      <c r="A1323" t="s">
        <v>873</v>
      </c>
      <c r="B1323" t="str">
        <f>VLOOKUP(Counties_by_State_Code[[#This Row],[State_Code]],Territory_by_Code[],2)</f>
        <v>Michigan</v>
      </c>
      <c r="C1323" t="s">
        <v>600</v>
      </c>
      <c r="D1323">
        <v>60939</v>
      </c>
      <c r="E1323">
        <v>521</v>
      </c>
    </row>
    <row r="1324" spans="1:5" x14ac:dyDescent="0.25">
      <c r="A1324" t="s">
        <v>873</v>
      </c>
      <c r="B1324" t="str">
        <f>VLOOKUP(Counties_by_State_Code[[#This Row],[State_Code]],Territory_by_Code[],2)</f>
        <v>Michigan</v>
      </c>
      <c r="C1324" t="s">
        <v>929</v>
      </c>
      <c r="D1324">
        <v>40611</v>
      </c>
      <c r="E1324">
        <v>1590</v>
      </c>
    </row>
    <row r="1325" spans="1:5" x14ac:dyDescent="0.25">
      <c r="A1325" t="s">
        <v>873</v>
      </c>
      <c r="B1325" t="str">
        <f>VLOOKUP(Counties_by_State_Code[[#This Row],[State_Code]],Territory_by_Code[],2)</f>
        <v>Michigan</v>
      </c>
      <c r="C1325" t="s">
        <v>930</v>
      </c>
      <c r="D1325">
        <v>8047</v>
      </c>
      <c r="E1325">
        <v>1884</v>
      </c>
    </row>
    <row r="1326" spans="1:5" x14ac:dyDescent="0.25">
      <c r="A1326" t="s">
        <v>873</v>
      </c>
      <c r="B1326" t="str">
        <f>VLOOKUP(Counties_by_State_Code[[#This Row],[State_Code]],Territory_by_Code[],2)</f>
        <v>Michigan</v>
      </c>
      <c r="C1326" t="s">
        <v>931</v>
      </c>
      <c r="D1326">
        <v>68094</v>
      </c>
      <c r="E1326">
        <v>541</v>
      </c>
    </row>
    <row r="1327" spans="1:5" x14ac:dyDescent="0.25">
      <c r="A1327" t="s">
        <v>873</v>
      </c>
      <c r="B1327" t="str">
        <f>VLOOKUP(Counties_by_State_Code[[#This Row],[State_Code]],Territory_by_Code[],2)</f>
        <v>Michigan</v>
      </c>
      <c r="C1327" t="s">
        <v>932</v>
      </c>
      <c r="D1327">
        <v>53323</v>
      </c>
      <c r="E1327">
        <v>914</v>
      </c>
    </row>
    <row r="1328" spans="1:5" x14ac:dyDescent="0.25">
      <c r="A1328" t="s">
        <v>873</v>
      </c>
      <c r="B1328" t="str">
        <f>VLOOKUP(Counties_by_State_Code[[#This Row],[State_Code]],Territory_by_Code[],2)</f>
        <v>Michigan</v>
      </c>
      <c r="C1328" t="s">
        <v>175</v>
      </c>
      <c r="D1328">
        <v>75587</v>
      </c>
      <c r="E1328">
        <v>1090</v>
      </c>
    </row>
    <row r="1329" spans="1:5" x14ac:dyDescent="0.25">
      <c r="A1329" t="s">
        <v>873</v>
      </c>
      <c r="B1329" t="str">
        <f>VLOOKUP(Counties_by_State_Code[[#This Row],[State_Code]],Territory_by_Code[],2)</f>
        <v>Michigan</v>
      </c>
      <c r="C1329" t="s">
        <v>933</v>
      </c>
      <c r="D1329">
        <v>372258</v>
      </c>
      <c r="E1329">
        <v>723</v>
      </c>
    </row>
    <row r="1330" spans="1:5" x14ac:dyDescent="0.25">
      <c r="A1330" t="s">
        <v>873</v>
      </c>
      <c r="B1330" t="str">
        <f>VLOOKUP(Counties_by_State_Code[[#This Row],[State_Code]],Territory_by_Code[],2)</f>
        <v>Michigan</v>
      </c>
      <c r="C1330" t="s">
        <v>468</v>
      </c>
      <c r="D1330">
        <v>1793561</v>
      </c>
      <c r="E1330">
        <v>672</v>
      </c>
    </row>
    <row r="1331" spans="1:5" x14ac:dyDescent="0.25">
      <c r="A1331" t="s">
        <v>873</v>
      </c>
      <c r="B1331" t="str">
        <f>VLOOKUP(Counties_by_State_Code[[#This Row],[State_Code]],Territory_by_Code[],2)</f>
        <v>Michigan</v>
      </c>
      <c r="C1331" t="s">
        <v>934</v>
      </c>
      <c r="D1331">
        <v>33673</v>
      </c>
      <c r="E1331">
        <v>576</v>
      </c>
    </row>
    <row r="1332" spans="1:5" x14ac:dyDescent="0.25">
      <c r="A1332" t="s">
        <v>936</v>
      </c>
      <c r="B1332" t="str">
        <f>VLOOKUP(Counties_by_State_Code[[#This Row],[State_Code]],Territory_by_Code[],2)</f>
        <v>Minnesota</v>
      </c>
      <c r="C1332" t="s">
        <v>935</v>
      </c>
      <c r="D1332">
        <v>15697</v>
      </c>
      <c r="E1332">
        <v>1819.3</v>
      </c>
    </row>
    <row r="1333" spans="1:5" x14ac:dyDescent="0.25">
      <c r="A1333" t="s">
        <v>936</v>
      </c>
      <c r="B1333" t="str">
        <f>VLOOKUP(Counties_by_State_Code[[#This Row],[State_Code]],Territory_by_Code[],2)</f>
        <v>Minnesota</v>
      </c>
      <c r="C1333" t="s">
        <v>937</v>
      </c>
      <c r="D1333">
        <v>363887</v>
      </c>
      <c r="E1333">
        <v>423.61</v>
      </c>
    </row>
    <row r="1334" spans="1:5" x14ac:dyDescent="0.25">
      <c r="A1334" t="s">
        <v>936</v>
      </c>
      <c r="B1334" t="str">
        <f>VLOOKUP(Counties_by_State_Code[[#This Row],[State_Code]],Territory_by_Code[],2)</f>
        <v>Minnesota</v>
      </c>
      <c r="C1334" t="s">
        <v>938</v>
      </c>
      <c r="D1334">
        <v>35183</v>
      </c>
      <c r="E1334">
        <v>1310.42</v>
      </c>
    </row>
    <row r="1335" spans="1:5" x14ac:dyDescent="0.25">
      <c r="A1335" t="s">
        <v>936</v>
      </c>
      <c r="B1335" t="str">
        <f>VLOOKUP(Counties_by_State_Code[[#This Row],[State_Code]],Territory_by_Code[],2)</f>
        <v>Minnesota</v>
      </c>
      <c r="C1335" t="s">
        <v>939</v>
      </c>
      <c r="D1335">
        <v>46228</v>
      </c>
      <c r="E1335">
        <v>2505.27</v>
      </c>
    </row>
    <row r="1336" spans="1:5" x14ac:dyDescent="0.25">
      <c r="A1336" t="s">
        <v>936</v>
      </c>
      <c r="B1336" t="str">
        <f>VLOOKUP(Counties_by_State_Code[[#This Row],[State_Code]],Territory_by_Code[],2)</f>
        <v>Minnesota</v>
      </c>
      <c r="C1336" t="s">
        <v>125</v>
      </c>
      <c r="D1336">
        <v>41379</v>
      </c>
      <c r="E1336">
        <v>408.28</v>
      </c>
    </row>
    <row r="1337" spans="1:5" x14ac:dyDescent="0.25">
      <c r="A1337" t="s">
        <v>936</v>
      </c>
      <c r="B1337" t="str">
        <f>VLOOKUP(Counties_by_State_Code[[#This Row],[State_Code]],Territory_by_Code[],2)</f>
        <v>Minnesota</v>
      </c>
      <c r="C1337" t="s">
        <v>940</v>
      </c>
      <c r="D1337">
        <v>5166</v>
      </c>
      <c r="E1337">
        <v>496.95</v>
      </c>
    </row>
    <row r="1338" spans="1:5" x14ac:dyDescent="0.25">
      <c r="A1338" t="s">
        <v>936</v>
      </c>
      <c r="B1338" t="str">
        <f>VLOOKUP(Counties_by_State_Code[[#This Row],[State_Code]],Territory_by_Code[],2)</f>
        <v>Minnesota</v>
      </c>
      <c r="C1338" t="s">
        <v>941</v>
      </c>
      <c r="D1338">
        <v>69112</v>
      </c>
      <c r="E1338">
        <v>752.36</v>
      </c>
    </row>
    <row r="1339" spans="1:5" x14ac:dyDescent="0.25">
      <c r="A1339" t="s">
        <v>936</v>
      </c>
      <c r="B1339" t="str">
        <f>VLOOKUP(Counties_by_State_Code[[#This Row],[State_Code]],Territory_by_Code[],2)</f>
        <v>Minnesota</v>
      </c>
      <c r="C1339" t="s">
        <v>520</v>
      </c>
      <c r="D1339">
        <v>25912</v>
      </c>
      <c r="E1339">
        <v>610.86</v>
      </c>
    </row>
    <row r="1340" spans="1:5" x14ac:dyDescent="0.25">
      <c r="A1340" t="s">
        <v>936</v>
      </c>
      <c r="B1340" t="str">
        <f>VLOOKUP(Counties_by_State_Code[[#This Row],[State_Code]],Territory_by_Code[],2)</f>
        <v>Minnesota</v>
      </c>
      <c r="C1340" t="s">
        <v>942</v>
      </c>
      <c r="D1340">
        <v>36207</v>
      </c>
      <c r="E1340">
        <v>860.33</v>
      </c>
    </row>
    <row r="1341" spans="1:5" x14ac:dyDescent="0.25">
      <c r="A1341" t="s">
        <v>936</v>
      </c>
      <c r="B1341" t="str">
        <f>VLOOKUP(Counties_by_State_Code[[#This Row],[State_Code]],Territory_by_Code[],2)</f>
        <v>Minnesota</v>
      </c>
      <c r="C1341" t="s">
        <v>943</v>
      </c>
      <c r="D1341">
        <v>106922</v>
      </c>
      <c r="E1341">
        <v>357.04</v>
      </c>
    </row>
    <row r="1342" spans="1:5" x14ac:dyDescent="0.25">
      <c r="A1342" t="s">
        <v>936</v>
      </c>
      <c r="B1342" t="str">
        <f>VLOOKUP(Counties_by_State_Code[[#This Row],[State_Code]],Territory_by_Code[],2)</f>
        <v>Minnesota</v>
      </c>
      <c r="C1342" t="s">
        <v>522</v>
      </c>
      <c r="D1342">
        <v>30066</v>
      </c>
      <c r="E1342">
        <v>2017.6</v>
      </c>
    </row>
    <row r="1343" spans="1:5" x14ac:dyDescent="0.25">
      <c r="A1343" t="s">
        <v>936</v>
      </c>
      <c r="B1343" t="str">
        <f>VLOOKUP(Counties_by_State_Code[[#This Row],[State_Code]],Territory_by_Code[],2)</f>
        <v>Minnesota</v>
      </c>
      <c r="C1343" t="s">
        <v>885</v>
      </c>
      <c r="D1343">
        <v>12598</v>
      </c>
      <c r="E1343">
        <v>582.79999999999995</v>
      </c>
    </row>
    <row r="1344" spans="1:5" x14ac:dyDescent="0.25">
      <c r="A1344" t="s">
        <v>936</v>
      </c>
      <c r="B1344" t="str">
        <f>VLOOKUP(Counties_by_State_Code[[#This Row],[State_Code]],Territory_by_Code[],2)</f>
        <v>Minnesota</v>
      </c>
      <c r="C1344" t="s">
        <v>944</v>
      </c>
      <c r="D1344">
        <v>56621</v>
      </c>
      <c r="E1344">
        <v>417.63</v>
      </c>
    </row>
    <row r="1345" spans="1:5" x14ac:dyDescent="0.25">
      <c r="A1345" t="s">
        <v>936</v>
      </c>
      <c r="B1345" t="str">
        <f>VLOOKUP(Counties_by_State_Code[[#This Row],[State_Code]],Territory_by_Code[],2)</f>
        <v>Minnesota</v>
      </c>
      <c r="C1345" t="s">
        <v>14</v>
      </c>
      <c r="D1345">
        <v>65318</v>
      </c>
      <c r="E1345">
        <v>1045.24</v>
      </c>
    </row>
    <row r="1346" spans="1:5" x14ac:dyDescent="0.25">
      <c r="A1346" t="s">
        <v>936</v>
      </c>
      <c r="B1346" t="str">
        <f>VLOOKUP(Counties_by_State_Code[[#This Row],[State_Code]],Territory_by_Code[],2)</f>
        <v>Minnesota</v>
      </c>
      <c r="C1346" t="s">
        <v>498</v>
      </c>
      <c r="D1346">
        <v>8524</v>
      </c>
      <c r="E1346">
        <v>994.71</v>
      </c>
    </row>
    <row r="1347" spans="1:5" x14ac:dyDescent="0.25">
      <c r="A1347" t="s">
        <v>936</v>
      </c>
      <c r="B1347" t="str">
        <f>VLOOKUP(Counties_by_State_Code[[#This Row],[State_Code]],Territory_by_Code[],2)</f>
        <v>Minnesota</v>
      </c>
      <c r="C1347" t="s">
        <v>393</v>
      </c>
      <c r="D1347">
        <v>5600</v>
      </c>
      <c r="E1347">
        <v>1450.6</v>
      </c>
    </row>
    <row r="1348" spans="1:5" x14ac:dyDescent="0.25">
      <c r="A1348" t="s">
        <v>936</v>
      </c>
      <c r="B1348" t="str">
        <f>VLOOKUP(Counties_by_State_Code[[#This Row],[State_Code]],Territory_by_Code[],2)</f>
        <v>Minnesota</v>
      </c>
      <c r="C1348" t="s">
        <v>945</v>
      </c>
      <c r="D1348">
        <v>11517</v>
      </c>
      <c r="E1348">
        <v>639.99</v>
      </c>
    </row>
    <row r="1349" spans="1:5" x14ac:dyDescent="0.25">
      <c r="A1349" t="s">
        <v>936</v>
      </c>
      <c r="B1349" t="str">
        <f>VLOOKUP(Counties_by_State_Code[[#This Row],[State_Code]],Territory_by_Code[],2)</f>
        <v>Minnesota</v>
      </c>
      <c r="C1349" t="s">
        <v>946</v>
      </c>
      <c r="D1349">
        <v>66123</v>
      </c>
      <c r="E1349">
        <v>996.57</v>
      </c>
    </row>
    <row r="1350" spans="1:5" x14ac:dyDescent="0.25">
      <c r="A1350" t="s">
        <v>936</v>
      </c>
      <c r="B1350" t="str">
        <f>VLOOKUP(Counties_by_State_Code[[#This Row],[State_Code]],Territory_by_Code[],2)</f>
        <v>Minnesota</v>
      </c>
      <c r="C1350" t="s">
        <v>947</v>
      </c>
      <c r="D1350">
        <v>439882</v>
      </c>
      <c r="E1350">
        <v>569.58000000000004</v>
      </c>
    </row>
    <row r="1351" spans="1:5" x14ac:dyDescent="0.25">
      <c r="A1351" t="s">
        <v>936</v>
      </c>
      <c r="B1351" t="str">
        <f>VLOOKUP(Counties_by_State_Code[[#This Row],[State_Code]],Territory_by_Code[],2)</f>
        <v>Minnesota</v>
      </c>
      <c r="C1351" t="s">
        <v>399</v>
      </c>
      <c r="D1351">
        <v>20867</v>
      </c>
      <c r="E1351">
        <v>439.5</v>
      </c>
    </row>
    <row r="1352" spans="1:5" x14ac:dyDescent="0.25">
      <c r="A1352" t="s">
        <v>936</v>
      </c>
      <c r="B1352" t="str">
        <f>VLOOKUP(Counties_by_State_Code[[#This Row],[State_Code]],Territory_by_Code[],2)</f>
        <v>Minnesota</v>
      </c>
      <c r="C1352" t="s">
        <v>255</v>
      </c>
      <c r="D1352">
        <v>39006</v>
      </c>
      <c r="E1352">
        <v>634.32000000000005</v>
      </c>
    </row>
    <row r="1353" spans="1:5" x14ac:dyDescent="0.25">
      <c r="A1353" t="s">
        <v>936</v>
      </c>
      <c r="B1353" t="str">
        <f>VLOOKUP(Counties_by_State_Code[[#This Row],[State_Code]],Territory_by_Code[],2)</f>
        <v>Minnesota</v>
      </c>
      <c r="C1353" t="s">
        <v>948</v>
      </c>
      <c r="D1353">
        <v>13921</v>
      </c>
      <c r="E1353">
        <v>713.63</v>
      </c>
    </row>
    <row r="1354" spans="1:5" x14ac:dyDescent="0.25">
      <c r="A1354" t="s">
        <v>936</v>
      </c>
      <c r="B1354" t="str">
        <f>VLOOKUP(Counties_by_State_Code[[#This Row],[State_Code]],Territory_by_Code[],2)</f>
        <v>Minnesota</v>
      </c>
      <c r="C1354" t="s">
        <v>949</v>
      </c>
      <c r="D1354">
        <v>21228</v>
      </c>
      <c r="E1354">
        <v>861.25</v>
      </c>
    </row>
    <row r="1355" spans="1:5" x14ac:dyDescent="0.25">
      <c r="A1355" t="s">
        <v>936</v>
      </c>
      <c r="B1355" t="str">
        <f>VLOOKUP(Counties_by_State_Code[[#This Row],[State_Code]],Territory_by_Code[],2)</f>
        <v>Minnesota</v>
      </c>
      <c r="C1355" t="s">
        <v>950</v>
      </c>
      <c r="D1355">
        <v>30895</v>
      </c>
      <c r="E1355">
        <v>707.64</v>
      </c>
    </row>
    <row r="1356" spans="1:5" x14ac:dyDescent="0.25">
      <c r="A1356" t="s">
        <v>936</v>
      </c>
      <c r="B1356" t="str">
        <f>VLOOKUP(Counties_by_State_Code[[#This Row],[State_Code]],Territory_by_Code[],2)</f>
        <v>Minnesota</v>
      </c>
      <c r="C1356" t="s">
        <v>951</v>
      </c>
      <c r="D1356">
        <v>47582</v>
      </c>
      <c r="E1356">
        <v>758.27</v>
      </c>
    </row>
    <row r="1357" spans="1:5" x14ac:dyDescent="0.25">
      <c r="A1357" t="s">
        <v>936</v>
      </c>
      <c r="B1357" t="str">
        <f>VLOOKUP(Counties_by_State_Code[[#This Row],[State_Code]],Territory_by_Code[],2)</f>
        <v>Minnesota</v>
      </c>
      <c r="C1357" t="s">
        <v>143</v>
      </c>
      <c r="D1357">
        <v>6074</v>
      </c>
      <c r="E1357">
        <v>546.41</v>
      </c>
    </row>
    <row r="1358" spans="1:5" x14ac:dyDescent="0.25">
      <c r="A1358" t="s">
        <v>936</v>
      </c>
      <c r="B1358" t="str">
        <f>VLOOKUP(Counties_by_State_Code[[#This Row],[State_Code]],Territory_by_Code[],2)</f>
        <v>Minnesota</v>
      </c>
      <c r="C1358" t="s">
        <v>952</v>
      </c>
      <c r="D1358">
        <v>1281565</v>
      </c>
      <c r="E1358">
        <v>556.62</v>
      </c>
    </row>
    <row r="1359" spans="1:5" x14ac:dyDescent="0.25">
      <c r="A1359" t="s">
        <v>936</v>
      </c>
      <c r="B1359" t="str">
        <f>VLOOKUP(Counties_by_State_Code[[#This Row],[State_Code]],Territory_by_Code[],2)</f>
        <v>Minnesota</v>
      </c>
      <c r="C1359" t="s">
        <v>35</v>
      </c>
      <c r="D1359">
        <v>18843</v>
      </c>
      <c r="E1359">
        <v>558.41</v>
      </c>
    </row>
    <row r="1360" spans="1:5" x14ac:dyDescent="0.25">
      <c r="A1360" t="s">
        <v>936</v>
      </c>
      <c r="B1360" t="str">
        <f>VLOOKUP(Counties_by_State_Code[[#This Row],[State_Code]],Territory_by_Code[],2)</f>
        <v>Minnesota</v>
      </c>
      <c r="C1360" t="s">
        <v>953</v>
      </c>
      <c r="D1360">
        <v>21344</v>
      </c>
      <c r="E1360">
        <v>922.46</v>
      </c>
    </row>
    <row r="1361" spans="1:5" x14ac:dyDescent="0.25">
      <c r="A1361" t="s">
        <v>936</v>
      </c>
      <c r="B1361" t="str">
        <f>VLOOKUP(Counties_by_State_Code[[#This Row],[State_Code]],Territory_by_Code[],2)</f>
        <v>Minnesota</v>
      </c>
      <c r="C1361" t="s">
        <v>954</v>
      </c>
      <c r="D1361">
        <v>41135</v>
      </c>
      <c r="E1361">
        <v>439.07</v>
      </c>
    </row>
    <row r="1362" spans="1:5" x14ac:dyDescent="0.25">
      <c r="A1362" t="s">
        <v>936</v>
      </c>
      <c r="B1362" t="str">
        <f>VLOOKUP(Counties_by_State_Code[[#This Row],[State_Code]],Territory_by_Code[],2)</f>
        <v>Minnesota</v>
      </c>
      <c r="C1362" t="s">
        <v>955</v>
      </c>
      <c r="D1362">
        <v>45014</v>
      </c>
      <c r="E1362">
        <v>2665.06</v>
      </c>
    </row>
    <row r="1363" spans="1:5" x14ac:dyDescent="0.25">
      <c r="A1363" t="s">
        <v>936</v>
      </c>
      <c r="B1363" t="str">
        <f>VLOOKUP(Counties_by_State_Code[[#This Row],[State_Code]],Territory_by_Code[],2)</f>
        <v>Minnesota</v>
      </c>
      <c r="C1363" t="s">
        <v>36</v>
      </c>
      <c r="D1363">
        <v>9989</v>
      </c>
      <c r="E1363">
        <v>701.69</v>
      </c>
    </row>
    <row r="1364" spans="1:5" x14ac:dyDescent="0.25">
      <c r="A1364" t="s">
        <v>936</v>
      </c>
      <c r="B1364" t="str">
        <f>VLOOKUP(Counties_by_State_Code[[#This Row],[State_Code]],Territory_by_Code[],2)</f>
        <v>Minnesota</v>
      </c>
      <c r="C1364" t="s">
        <v>956</v>
      </c>
      <c r="D1364">
        <v>16032</v>
      </c>
      <c r="E1364">
        <v>524.92999999999995</v>
      </c>
    </row>
    <row r="1365" spans="1:5" x14ac:dyDescent="0.25">
      <c r="A1365" t="s">
        <v>936</v>
      </c>
      <c r="B1365" t="str">
        <f>VLOOKUP(Counties_by_State_Code[[#This Row],[State_Code]],Territory_by_Code[],2)</f>
        <v>Minnesota</v>
      </c>
      <c r="C1365" t="s">
        <v>957</v>
      </c>
      <c r="D1365">
        <v>43732</v>
      </c>
      <c r="E1365">
        <v>796.06</v>
      </c>
    </row>
    <row r="1366" spans="1:5" x14ac:dyDescent="0.25">
      <c r="A1366" t="s">
        <v>936</v>
      </c>
      <c r="B1366" t="str">
        <f>VLOOKUP(Counties_by_State_Code[[#This Row],[State_Code]],Territory_by_Code[],2)</f>
        <v>Minnesota</v>
      </c>
      <c r="C1366" t="s">
        <v>958</v>
      </c>
      <c r="D1366">
        <v>4207</v>
      </c>
      <c r="E1366">
        <v>1097.08</v>
      </c>
    </row>
    <row r="1367" spans="1:5" x14ac:dyDescent="0.25">
      <c r="A1367" t="s">
        <v>936</v>
      </c>
      <c r="B1367" t="str">
        <f>VLOOKUP(Counties_by_State_Code[[#This Row],[State_Code]],Territory_by_Code[],2)</f>
        <v>Minnesota</v>
      </c>
      <c r="C1367" t="s">
        <v>959</v>
      </c>
      <c r="D1367">
        <v>12062</v>
      </c>
      <c r="E1367">
        <v>3102.36</v>
      </c>
    </row>
    <row r="1368" spans="1:5" x14ac:dyDescent="0.25">
      <c r="A1368" t="s">
        <v>936</v>
      </c>
      <c r="B1368" t="str">
        <f>VLOOKUP(Counties_by_State_Code[[#This Row],[State_Code]],Territory_by_Code[],2)</f>
        <v>Minnesota</v>
      </c>
      <c r="C1368" t="s">
        <v>960</v>
      </c>
      <c r="D1368">
        <v>6719</v>
      </c>
      <c r="E1368">
        <v>764.87</v>
      </c>
    </row>
    <row r="1369" spans="1:5" x14ac:dyDescent="0.25">
      <c r="A1369" t="s">
        <v>936</v>
      </c>
      <c r="B1369" t="str">
        <f>VLOOKUP(Counties_by_State_Code[[#This Row],[State_Code]],Territory_by_Code[],2)</f>
        <v>Minnesota</v>
      </c>
      <c r="C1369" t="s">
        <v>196</v>
      </c>
      <c r="D1369">
        <v>10905</v>
      </c>
      <c r="E1369">
        <v>2099.16</v>
      </c>
    </row>
    <row r="1370" spans="1:5" x14ac:dyDescent="0.25">
      <c r="A1370" t="s">
        <v>936</v>
      </c>
      <c r="B1370" t="str">
        <f>VLOOKUP(Counties_by_State_Code[[#This Row],[State_Code]],Territory_by_Code[],2)</f>
        <v>Minnesota</v>
      </c>
      <c r="C1370" t="s">
        <v>961</v>
      </c>
      <c r="D1370">
        <v>3763</v>
      </c>
      <c r="E1370">
        <v>1296.7</v>
      </c>
    </row>
    <row r="1371" spans="1:5" x14ac:dyDescent="0.25">
      <c r="A1371" t="s">
        <v>936</v>
      </c>
      <c r="B1371" t="str">
        <f>VLOOKUP(Counties_by_State_Code[[#This Row],[State_Code]],Territory_by_Code[],2)</f>
        <v>Minnesota</v>
      </c>
      <c r="C1371" t="s">
        <v>962</v>
      </c>
      <c r="D1371">
        <v>28674</v>
      </c>
      <c r="E1371">
        <v>448.5</v>
      </c>
    </row>
    <row r="1372" spans="1:5" x14ac:dyDescent="0.25">
      <c r="A1372" t="s">
        <v>936</v>
      </c>
      <c r="B1372" t="str">
        <f>VLOOKUP(Counties_by_State_Code[[#This Row],[State_Code]],Territory_by_Code[],2)</f>
        <v>Minnesota</v>
      </c>
      <c r="C1372" t="s">
        <v>151</v>
      </c>
      <c r="D1372">
        <v>5640</v>
      </c>
      <c r="E1372">
        <v>537.03</v>
      </c>
    </row>
    <row r="1373" spans="1:5" x14ac:dyDescent="0.25">
      <c r="A1373" t="s">
        <v>936</v>
      </c>
      <c r="B1373" t="str">
        <f>VLOOKUP(Counties_by_State_Code[[#This Row],[State_Code]],Territory_by_Code[],2)</f>
        <v>Minnesota</v>
      </c>
      <c r="C1373" t="s">
        <v>639</v>
      </c>
      <c r="D1373">
        <v>25269</v>
      </c>
      <c r="E1373">
        <v>714.17</v>
      </c>
    </row>
    <row r="1374" spans="1:5" x14ac:dyDescent="0.25">
      <c r="A1374" t="s">
        <v>936</v>
      </c>
      <c r="B1374" t="str">
        <f>VLOOKUP(Counties_by_State_Code[[#This Row],[State_Code]],Territory_by_Code[],2)</f>
        <v>Minnesota</v>
      </c>
      <c r="C1374" t="s">
        <v>963</v>
      </c>
      <c r="D1374">
        <v>5411</v>
      </c>
      <c r="E1374">
        <v>556.14</v>
      </c>
    </row>
    <row r="1375" spans="1:5" x14ac:dyDescent="0.25">
      <c r="A1375" t="s">
        <v>936</v>
      </c>
      <c r="B1375" t="str">
        <f>VLOOKUP(Counties_by_State_Code[[#This Row],[State_Code]],Territory_by_Code[],2)</f>
        <v>Minnesota</v>
      </c>
      <c r="C1375" t="s">
        <v>48</v>
      </c>
      <c r="D1375">
        <v>9040</v>
      </c>
      <c r="E1375">
        <v>1772.24</v>
      </c>
    </row>
    <row r="1376" spans="1:5" x14ac:dyDescent="0.25">
      <c r="A1376" t="s">
        <v>936</v>
      </c>
      <c r="B1376" t="str">
        <f>VLOOKUP(Counties_by_State_Code[[#This Row],[State_Code]],Territory_by_Code[],2)</f>
        <v>Minnesota</v>
      </c>
      <c r="C1376" t="s">
        <v>346</v>
      </c>
      <c r="D1376">
        <v>20025</v>
      </c>
      <c r="E1376">
        <v>709.34</v>
      </c>
    </row>
    <row r="1377" spans="1:5" x14ac:dyDescent="0.25">
      <c r="A1377" t="s">
        <v>936</v>
      </c>
      <c r="B1377" t="str">
        <f>VLOOKUP(Counties_by_State_Code[[#This Row],[State_Code]],Territory_by_Code[],2)</f>
        <v>Minnesota</v>
      </c>
      <c r="C1377" t="s">
        <v>964</v>
      </c>
      <c r="D1377">
        <v>36771</v>
      </c>
      <c r="E1377">
        <v>491.91</v>
      </c>
    </row>
    <row r="1378" spans="1:5" x14ac:dyDescent="0.25">
      <c r="A1378" t="s">
        <v>936</v>
      </c>
      <c r="B1378" t="str">
        <f>VLOOKUP(Counties_by_State_Code[[#This Row],[State_Code]],Territory_by_Code[],2)</f>
        <v>Minnesota</v>
      </c>
      <c r="C1378" t="s">
        <v>965</v>
      </c>
      <c r="D1378">
        <v>23400</v>
      </c>
      <c r="E1378">
        <v>608.54</v>
      </c>
    </row>
    <row r="1379" spans="1:5" x14ac:dyDescent="0.25">
      <c r="A1379" t="s">
        <v>936</v>
      </c>
      <c r="B1379" t="str">
        <f>VLOOKUP(Counties_by_State_Code[[#This Row],[State_Code]],Territory_by_Code[],2)</f>
        <v>Minnesota</v>
      </c>
      <c r="C1379" t="s">
        <v>966</v>
      </c>
      <c r="D1379">
        <v>26459</v>
      </c>
      <c r="E1379">
        <v>574.47</v>
      </c>
    </row>
    <row r="1380" spans="1:5" x14ac:dyDescent="0.25">
      <c r="A1380" t="s">
        <v>936</v>
      </c>
      <c r="B1380" t="str">
        <f>VLOOKUP(Counties_by_State_Code[[#This Row],[State_Code]],Territory_by_Code[],2)</f>
        <v>Minnesota</v>
      </c>
      <c r="C1380" t="s">
        <v>967</v>
      </c>
      <c r="D1380">
        <v>34010</v>
      </c>
      <c r="E1380">
        <v>1124.5</v>
      </c>
    </row>
    <row r="1381" spans="1:5" x14ac:dyDescent="0.25">
      <c r="A1381" t="s">
        <v>936</v>
      </c>
      <c r="B1381" t="str">
        <f>VLOOKUP(Counties_by_State_Code[[#This Row],[State_Code]],Territory_by_Code[],2)</f>
        <v>Minnesota</v>
      </c>
      <c r="C1381" t="s">
        <v>968</v>
      </c>
      <c r="D1381">
        <v>40029</v>
      </c>
      <c r="E1381">
        <v>711.5</v>
      </c>
    </row>
    <row r="1382" spans="1:5" x14ac:dyDescent="0.25">
      <c r="A1382" t="s">
        <v>936</v>
      </c>
      <c r="B1382" t="str">
        <f>VLOOKUP(Counties_by_State_Code[[#This Row],[State_Code]],Territory_by_Code[],2)</f>
        <v>Minnesota</v>
      </c>
      <c r="C1382" t="s">
        <v>436</v>
      </c>
      <c r="D1382">
        <v>8179</v>
      </c>
      <c r="E1382">
        <v>704.43</v>
      </c>
    </row>
    <row r="1383" spans="1:5" x14ac:dyDescent="0.25">
      <c r="A1383" t="s">
        <v>936</v>
      </c>
      <c r="B1383" t="str">
        <f>VLOOKUP(Counties_by_State_Code[[#This Row],[State_Code]],Territory_by_Code[],2)</f>
        <v>Minnesota</v>
      </c>
      <c r="C1383" t="s">
        <v>969</v>
      </c>
      <c r="D1383">
        <v>34454</v>
      </c>
      <c r="E1383">
        <v>452.29</v>
      </c>
    </row>
    <row r="1384" spans="1:5" x14ac:dyDescent="0.25">
      <c r="A1384" t="s">
        <v>936</v>
      </c>
      <c r="B1384" t="str">
        <f>VLOOKUP(Counties_by_State_Code[[#This Row],[State_Code]],Territory_by_Code[],2)</f>
        <v>Minnesota</v>
      </c>
      <c r="C1384" t="s">
        <v>970</v>
      </c>
      <c r="D1384">
        <v>22290</v>
      </c>
      <c r="E1384">
        <v>715.39</v>
      </c>
    </row>
    <row r="1385" spans="1:5" x14ac:dyDescent="0.25">
      <c r="A1385" t="s">
        <v>936</v>
      </c>
      <c r="B1385" t="str">
        <f>VLOOKUP(Counties_by_State_Code[[#This Row],[State_Code]],Territory_by_Code[],2)</f>
        <v>Minnesota</v>
      </c>
      <c r="C1385" t="s">
        <v>971</v>
      </c>
      <c r="D1385">
        <v>6441</v>
      </c>
      <c r="E1385">
        <v>876.27</v>
      </c>
    </row>
    <row r="1386" spans="1:5" x14ac:dyDescent="0.25">
      <c r="A1386" t="s">
        <v>936</v>
      </c>
      <c r="B1386" t="str">
        <f>VLOOKUP(Counties_by_State_Code[[#This Row],[State_Code]],Territory_by_Code[],2)</f>
        <v>Minnesota</v>
      </c>
      <c r="C1386" t="s">
        <v>972</v>
      </c>
      <c r="D1386">
        <v>162847</v>
      </c>
      <c r="E1386">
        <v>653.01</v>
      </c>
    </row>
    <row r="1387" spans="1:5" x14ac:dyDescent="0.25">
      <c r="A1387" t="s">
        <v>936</v>
      </c>
      <c r="B1387" t="str">
        <f>VLOOKUP(Counties_by_State_Code[[#This Row],[State_Code]],Territory_by_Code[],2)</f>
        <v>Minnesota</v>
      </c>
      <c r="C1387" t="s">
        <v>973</v>
      </c>
      <c r="D1387">
        <v>60081</v>
      </c>
      <c r="E1387">
        <v>1979.71</v>
      </c>
    </row>
    <row r="1388" spans="1:5" x14ac:dyDescent="0.25">
      <c r="A1388" t="s">
        <v>936</v>
      </c>
      <c r="B1388" t="str">
        <f>VLOOKUP(Counties_by_State_Code[[#This Row],[State_Code]],Territory_by_Code[],2)</f>
        <v>Minnesota</v>
      </c>
      <c r="C1388" t="s">
        <v>974</v>
      </c>
      <c r="D1388">
        <v>13992</v>
      </c>
      <c r="E1388">
        <v>616.54</v>
      </c>
    </row>
    <row r="1389" spans="1:5" x14ac:dyDescent="0.25">
      <c r="A1389" t="s">
        <v>936</v>
      </c>
      <c r="B1389" t="str">
        <f>VLOOKUP(Counties_by_State_Code[[#This Row],[State_Code]],Territory_by_Code[],2)</f>
        <v>Minnesota</v>
      </c>
      <c r="C1389" t="s">
        <v>975</v>
      </c>
      <c r="D1389">
        <v>28876</v>
      </c>
      <c r="E1389">
        <v>1411.04</v>
      </c>
    </row>
    <row r="1390" spans="1:5" x14ac:dyDescent="0.25">
      <c r="A1390" t="s">
        <v>936</v>
      </c>
      <c r="B1390" t="str">
        <f>VLOOKUP(Counties_by_State_Code[[#This Row],[State_Code]],Territory_by_Code[],2)</f>
        <v>Minnesota</v>
      </c>
      <c r="C1390" t="s">
        <v>976</v>
      </c>
      <c r="D1390">
        <v>9424</v>
      </c>
      <c r="E1390">
        <v>465.89</v>
      </c>
    </row>
    <row r="1391" spans="1:5" x14ac:dyDescent="0.25">
      <c r="A1391" t="s">
        <v>936</v>
      </c>
      <c r="B1391" t="str">
        <f>VLOOKUP(Counties_by_State_Code[[#This Row],[State_Code]],Territory_by_Code[],2)</f>
        <v>Minnesota</v>
      </c>
      <c r="C1391" t="s">
        <v>162</v>
      </c>
      <c r="D1391">
        <v>31192</v>
      </c>
      <c r="E1391">
        <v>1970.37</v>
      </c>
    </row>
    <row r="1392" spans="1:5" x14ac:dyDescent="0.25">
      <c r="A1392" t="s">
        <v>936</v>
      </c>
      <c r="B1392" t="str">
        <f>VLOOKUP(Counties_by_State_Code[[#This Row],[State_Code]],Territory_by_Code[],2)</f>
        <v>Minnesota</v>
      </c>
      <c r="C1392" t="s">
        <v>163</v>
      </c>
      <c r="D1392">
        <v>11308</v>
      </c>
      <c r="E1392">
        <v>670.14</v>
      </c>
    </row>
    <row r="1393" spans="1:5" x14ac:dyDescent="0.25">
      <c r="A1393" t="s">
        <v>936</v>
      </c>
      <c r="B1393" t="str">
        <f>VLOOKUP(Counties_by_State_Code[[#This Row],[State_Code]],Territory_by_Code[],2)</f>
        <v>Minnesota</v>
      </c>
      <c r="C1393" t="s">
        <v>977</v>
      </c>
      <c r="D1393">
        <v>552352</v>
      </c>
      <c r="E1393">
        <v>155.78</v>
      </c>
    </row>
    <row r="1394" spans="1:5" x14ac:dyDescent="0.25">
      <c r="A1394" t="s">
        <v>936</v>
      </c>
      <c r="B1394" t="str">
        <f>VLOOKUP(Counties_by_State_Code[[#This Row],[State_Code]],Territory_by_Code[],2)</f>
        <v>Minnesota</v>
      </c>
      <c r="C1394" t="s">
        <v>978</v>
      </c>
      <c r="D1394">
        <v>3935</v>
      </c>
      <c r="E1394">
        <v>432.43</v>
      </c>
    </row>
    <row r="1395" spans="1:5" x14ac:dyDescent="0.25">
      <c r="A1395" t="s">
        <v>936</v>
      </c>
      <c r="B1395" t="str">
        <f>VLOOKUP(Counties_by_State_Code[[#This Row],[State_Code]],Territory_by_Code[],2)</f>
        <v>Minnesota</v>
      </c>
      <c r="C1395" t="s">
        <v>979</v>
      </c>
      <c r="D1395">
        <v>15425</v>
      </c>
      <c r="E1395">
        <v>879.73</v>
      </c>
    </row>
    <row r="1396" spans="1:5" x14ac:dyDescent="0.25">
      <c r="A1396" t="s">
        <v>936</v>
      </c>
      <c r="B1396" t="str">
        <f>VLOOKUP(Counties_by_State_Code[[#This Row],[State_Code]],Territory_by_Code[],2)</f>
        <v>Minnesota</v>
      </c>
      <c r="C1396" t="s">
        <v>980</v>
      </c>
      <c r="D1396">
        <v>14723</v>
      </c>
      <c r="E1396">
        <v>982.92</v>
      </c>
    </row>
    <row r="1397" spans="1:5" x14ac:dyDescent="0.25">
      <c r="A1397" t="s">
        <v>936</v>
      </c>
      <c r="B1397" t="str">
        <f>VLOOKUP(Counties_by_State_Code[[#This Row],[State_Code]],Territory_by_Code[],2)</f>
        <v>Minnesota</v>
      </c>
      <c r="C1397" t="s">
        <v>709</v>
      </c>
      <c r="D1397">
        <v>67097</v>
      </c>
      <c r="E1397">
        <v>497.57</v>
      </c>
    </row>
    <row r="1398" spans="1:5" x14ac:dyDescent="0.25">
      <c r="A1398" t="s">
        <v>936</v>
      </c>
      <c r="B1398" t="str">
        <f>VLOOKUP(Counties_by_State_Code[[#This Row],[State_Code]],Territory_by_Code[],2)</f>
        <v>Minnesota</v>
      </c>
      <c r="C1398" t="s">
        <v>981</v>
      </c>
      <c r="D1398">
        <v>9704</v>
      </c>
      <c r="E1398">
        <v>482.61</v>
      </c>
    </row>
    <row r="1399" spans="1:5" x14ac:dyDescent="0.25">
      <c r="A1399" t="s">
        <v>936</v>
      </c>
      <c r="B1399" t="str">
        <f>VLOOKUP(Counties_by_State_Code[[#This Row],[State_Code]],Territory_by_Code[],2)</f>
        <v>Minnesota</v>
      </c>
      <c r="C1399" t="s">
        <v>982</v>
      </c>
      <c r="D1399">
        <v>15331</v>
      </c>
      <c r="E1399">
        <v>1662.51</v>
      </c>
    </row>
    <row r="1400" spans="1:5" x14ac:dyDescent="0.25">
      <c r="A1400" t="s">
        <v>936</v>
      </c>
      <c r="B1400" t="str">
        <f>VLOOKUP(Counties_by_State_Code[[#This Row],[State_Code]],Territory_by_Code[],2)</f>
        <v>Minnesota</v>
      </c>
      <c r="C1400" t="s">
        <v>983</v>
      </c>
      <c r="D1400">
        <v>200231</v>
      </c>
      <c r="E1400">
        <v>6225.16</v>
      </c>
    </row>
    <row r="1401" spans="1:5" x14ac:dyDescent="0.25">
      <c r="A1401" t="s">
        <v>936</v>
      </c>
      <c r="B1401" t="str">
        <f>VLOOKUP(Counties_by_State_Code[[#This Row],[State_Code]],Territory_by_Code[],2)</f>
        <v>Minnesota</v>
      </c>
      <c r="C1401" t="s">
        <v>168</v>
      </c>
      <c r="D1401">
        <v>150928</v>
      </c>
      <c r="E1401">
        <v>356.68</v>
      </c>
    </row>
    <row r="1402" spans="1:5" x14ac:dyDescent="0.25">
      <c r="A1402" t="s">
        <v>936</v>
      </c>
      <c r="B1402" t="str">
        <f>VLOOKUP(Counties_by_State_Code[[#This Row],[State_Code]],Territory_by_Code[],2)</f>
        <v>Minnesota</v>
      </c>
      <c r="C1402" t="s">
        <v>984</v>
      </c>
      <c r="D1402">
        <v>97183</v>
      </c>
      <c r="E1402">
        <v>436.3</v>
      </c>
    </row>
    <row r="1403" spans="1:5" x14ac:dyDescent="0.25">
      <c r="A1403" t="s">
        <v>936</v>
      </c>
      <c r="B1403" t="str">
        <f>VLOOKUP(Counties_by_State_Code[[#This Row],[State_Code]],Territory_by_Code[],2)</f>
        <v>Minnesota</v>
      </c>
      <c r="C1403" t="s">
        <v>985</v>
      </c>
      <c r="D1403">
        <v>14836</v>
      </c>
      <c r="E1403">
        <v>588.65</v>
      </c>
    </row>
    <row r="1404" spans="1:5" x14ac:dyDescent="0.25">
      <c r="A1404" t="s">
        <v>936</v>
      </c>
      <c r="B1404" t="str">
        <f>VLOOKUP(Counties_by_State_Code[[#This Row],[State_Code]],Territory_by_Code[],2)</f>
        <v>Minnesota</v>
      </c>
      <c r="C1404" t="s">
        <v>986</v>
      </c>
      <c r="D1404">
        <v>158292</v>
      </c>
      <c r="E1404">
        <v>1344.52</v>
      </c>
    </row>
    <row r="1405" spans="1:5" x14ac:dyDescent="0.25">
      <c r="A1405" t="s">
        <v>936</v>
      </c>
      <c r="B1405" t="str">
        <f>VLOOKUP(Counties_by_State_Code[[#This Row],[State_Code]],Territory_by_Code[],2)</f>
        <v>Minnesota</v>
      </c>
      <c r="C1405" t="s">
        <v>987</v>
      </c>
      <c r="D1405">
        <v>37406</v>
      </c>
      <c r="E1405">
        <v>429.55</v>
      </c>
    </row>
    <row r="1406" spans="1:5" x14ac:dyDescent="0.25">
      <c r="A1406" t="s">
        <v>936</v>
      </c>
      <c r="B1406" t="str">
        <f>VLOOKUP(Counties_by_State_Code[[#This Row],[State_Code]],Territory_by_Code[],2)</f>
        <v>Minnesota</v>
      </c>
      <c r="C1406" t="s">
        <v>719</v>
      </c>
      <c r="D1406">
        <v>9671</v>
      </c>
      <c r="E1406">
        <v>562.05999999999995</v>
      </c>
    </row>
    <row r="1407" spans="1:5" x14ac:dyDescent="0.25">
      <c r="A1407" t="s">
        <v>936</v>
      </c>
      <c r="B1407" t="str">
        <f>VLOOKUP(Counties_by_State_Code[[#This Row],[State_Code]],Territory_by_Code[],2)</f>
        <v>Minnesota</v>
      </c>
      <c r="C1407" t="s">
        <v>988</v>
      </c>
      <c r="D1407">
        <v>9838</v>
      </c>
      <c r="E1407">
        <v>743.53</v>
      </c>
    </row>
    <row r="1408" spans="1:5" x14ac:dyDescent="0.25">
      <c r="A1408" t="s">
        <v>936</v>
      </c>
      <c r="B1408" t="str">
        <f>VLOOKUP(Counties_by_State_Code[[#This Row],[State_Code]],Territory_by_Code[],2)</f>
        <v>Minnesota</v>
      </c>
      <c r="C1408" t="s">
        <v>780</v>
      </c>
      <c r="D1408">
        <v>25262</v>
      </c>
      <c r="E1408">
        <v>942.02</v>
      </c>
    </row>
    <row r="1409" spans="1:5" x14ac:dyDescent="0.25">
      <c r="A1409" t="s">
        <v>936</v>
      </c>
      <c r="B1409" t="str">
        <f>VLOOKUP(Counties_by_State_Code[[#This Row],[State_Code]],Territory_by_Code[],2)</f>
        <v>Minnesota</v>
      </c>
      <c r="C1409" t="s">
        <v>989</v>
      </c>
      <c r="D1409">
        <v>3360</v>
      </c>
      <c r="E1409">
        <v>574.09</v>
      </c>
    </row>
    <row r="1410" spans="1:5" x14ac:dyDescent="0.25">
      <c r="A1410" t="s">
        <v>936</v>
      </c>
      <c r="B1410" t="str">
        <f>VLOOKUP(Counties_by_State_Code[[#This Row],[State_Code]],Territory_by_Code[],2)</f>
        <v>Minnesota</v>
      </c>
      <c r="C1410" t="s">
        <v>990</v>
      </c>
      <c r="D1410">
        <v>21387</v>
      </c>
      <c r="E1410">
        <v>525.01</v>
      </c>
    </row>
    <row r="1411" spans="1:5" x14ac:dyDescent="0.25">
      <c r="A1411" t="s">
        <v>936</v>
      </c>
      <c r="B1411" t="str">
        <f>VLOOKUP(Counties_by_State_Code[[#This Row],[State_Code]],Territory_by_Code[],2)</f>
        <v>Minnesota</v>
      </c>
      <c r="C1411" t="s">
        <v>991</v>
      </c>
      <c r="D1411">
        <v>14065</v>
      </c>
      <c r="E1411">
        <v>535.02</v>
      </c>
    </row>
    <row r="1412" spans="1:5" x14ac:dyDescent="0.25">
      <c r="A1412" t="s">
        <v>936</v>
      </c>
      <c r="B1412" t="str">
        <f>VLOOKUP(Counties_by_State_Code[[#This Row],[State_Code]],Territory_by_Code[],2)</f>
        <v>Minnesota</v>
      </c>
      <c r="C1412" t="s">
        <v>992</v>
      </c>
      <c r="D1412">
        <v>18968</v>
      </c>
      <c r="E1412">
        <v>432.25</v>
      </c>
    </row>
    <row r="1413" spans="1:5" x14ac:dyDescent="0.25">
      <c r="A1413" t="s">
        <v>936</v>
      </c>
      <c r="B1413" t="str">
        <f>VLOOKUP(Counties_by_State_Code[[#This Row],[State_Code]],Territory_by_Code[],2)</f>
        <v>Minnesota</v>
      </c>
      <c r="C1413" t="s">
        <v>65</v>
      </c>
      <c r="D1413">
        <v>267568</v>
      </c>
      <c r="E1413">
        <v>391.7</v>
      </c>
    </row>
    <row r="1414" spans="1:5" x14ac:dyDescent="0.25">
      <c r="A1414" t="s">
        <v>936</v>
      </c>
      <c r="B1414" t="str">
        <f>VLOOKUP(Counties_by_State_Code[[#This Row],[State_Code]],Territory_by_Code[],2)</f>
        <v>Minnesota</v>
      </c>
      <c r="C1414" t="s">
        <v>993</v>
      </c>
      <c r="D1414">
        <v>11253</v>
      </c>
      <c r="E1414">
        <v>434.51</v>
      </c>
    </row>
    <row r="1415" spans="1:5" x14ac:dyDescent="0.25">
      <c r="A1415" t="s">
        <v>936</v>
      </c>
      <c r="B1415" t="str">
        <f>VLOOKUP(Counties_by_State_Code[[#This Row],[State_Code]],Territory_by_Code[],2)</f>
        <v>Minnesota</v>
      </c>
      <c r="C1415" t="s">
        <v>994</v>
      </c>
      <c r="D1415">
        <v>6506</v>
      </c>
      <c r="E1415">
        <v>751.43</v>
      </c>
    </row>
    <row r="1416" spans="1:5" x14ac:dyDescent="0.25">
      <c r="A1416" t="s">
        <v>936</v>
      </c>
      <c r="B1416" t="str">
        <f>VLOOKUP(Counties_by_State_Code[[#This Row],[State_Code]],Territory_by_Code[],2)</f>
        <v>Minnesota</v>
      </c>
      <c r="C1416" t="s">
        <v>995</v>
      </c>
      <c r="D1416">
        <v>49671</v>
      </c>
      <c r="E1416">
        <v>626.29999999999995</v>
      </c>
    </row>
    <row r="1417" spans="1:5" x14ac:dyDescent="0.25">
      <c r="A1417" t="s">
        <v>936</v>
      </c>
      <c r="B1417" t="str">
        <f>VLOOKUP(Counties_by_State_Code[[#This Row],[State_Code]],Territory_by_Code[],2)</f>
        <v>Minnesota</v>
      </c>
      <c r="C1417" t="s">
        <v>659</v>
      </c>
      <c r="D1417">
        <v>141337</v>
      </c>
      <c r="E1417">
        <v>660.5</v>
      </c>
    </row>
    <row r="1418" spans="1:5" x14ac:dyDescent="0.25">
      <c r="A1418" t="s">
        <v>936</v>
      </c>
      <c r="B1418" t="str">
        <f>VLOOKUP(Counties_by_State_Code[[#This Row],[State_Code]],Territory_by_Code[],2)</f>
        <v>Minnesota</v>
      </c>
      <c r="C1418" t="s">
        <v>996</v>
      </c>
      <c r="D1418">
        <v>9528</v>
      </c>
      <c r="E1418">
        <v>757.96</v>
      </c>
    </row>
    <row r="1419" spans="1:5" x14ac:dyDescent="0.25">
      <c r="A1419" t="s">
        <v>997</v>
      </c>
      <c r="B1419" t="str">
        <f>VLOOKUP(Counties_by_State_Code[[#This Row],[State_Code]],Territory_by_Code[],2)</f>
        <v>Mississippi</v>
      </c>
      <c r="C1419" t="s">
        <v>236</v>
      </c>
      <c r="D1419">
        <v>29538</v>
      </c>
      <c r="E1419">
        <v>460</v>
      </c>
    </row>
    <row r="1420" spans="1:5" x14ac:dyDescent="0.25">
      <c r="A1420" t="s">
        <v>997</v>
      </c>
      <c r="B1420" t="str">
        <f>VLOOKUP(Counties_by_State_Code[[#This Row],[State_Code]],Territory_by_Code[],2)</f>
        <v>Mississippi</v>
      </c>
      <c r="C1420" t="s">
        <v>998</v>
      </c>
      <c r="D1420">
        <v>34740</v>
      </c>
      <c r="E1420">
        <v>400</v>
      </c>
    </row>
    <row r="1421" spans="1:5" x14ac:dyDescent="0.25">
      <c r="A1421" t="s">
        <v>997</v>
      </c>
      <c r="B1421" t="str">
        <f>VLOOKUP(Counties_by_State_Code[[#This Row],[State_Code]],Territory_by_Code[],2)</f>
        <v>Mississippi</v>
      </c>
      <c r="C1421" t="s">
        <v>999</v>
      </c>
      <c r="D1421">
        <v>12720</v>
      </c>
      <c r="E1421">
        <v>730</v>
      </c>
    </row>
    <row r="1422" spans="1:5" x14ac:dyDescent="0.25">
      <c r="A1422" t="s">
        <v>997</v>
      </c>
      <c r="B1422" t="str">
        <f>VLOOKUP(Counties_by_State_Code[[#This Row],[State_Code]],Territory_by_Code[],2)</f>
        <v>Mississippi</v>
      </c>
      <c r="C1422" t="s">
        <v>1000</v>
      </c>
      <c r="D1422">
        <v>17889</v>
      </c>
      <c r="E1422">
        <v>735</v>
      </c>
    </row>
    <row r="1423" spans="1:5" x14ac:dyDescent="0.25">
      <c r="A1423" t="s">
        <v>997</v>
      </c>
      <c r="B1423" t="str">
        <f>VLOOKUP(Counties_by_State_Code[[#This Row],[State_Code]],Territory_by_Code[],2)</f>
        <v>Mississippi</v>
      </c>
      <c r="C1423" t="s">
        <v>125</v>
      </c>
      <c r="D1423">
        <v>7646</v>
      </c>
      <c r="E1423">
        <v>407</v>
      </c>
    </row>
    <row r="1424" spans="1:5" x14ac:dyDescent="0.25">
      <c r="A1424" t="s">
        <v>997</v>
      </c>
      <c r="B1424" t="str">
        <f>VLOOKUP(Counties_by_State_Code[[#This Row],[State_Code]],Territory_by_Code[],2)</f>
        <v>Mississippi</v>
      </c>
      <c r="C1424" t="s">
        <v>1001</v>
      </c>
      <c r="D1424">
        <v>30985</v>
      </c>
      <c r="E1424">
        <v>876</v>
      </c>
    </row>
    <row r="1425" spans="1:5" x14ac:dyDescent="0.25">
      <c r="A1425" t="s">
        <v>997</v>
      </c>
      <c r="B1425" t="str">
        <f>VLOOKUP(Counties_by_State_Code[[#This Row],[State_Code]],Territory_by_Code[],2)</f>
        <v>Mississippi</v>
      </c>
      <c r="C1425" t="s">
        <v>8</v>
      </c>
      <c r="D1425">
        <v>13266</v>
      </c>
      <c r="E1425">
        <v>587</v>
      </c>
    </row>
    <row r="1426" spans="1:5" x14ac:dyDescent="0.25">
      <c r="A1426" t="s">
        <v>997</v>
      </c>
      <c r="B1426" t="str">
        <f>VLOOKUP(Counties_by_State_Code[[#This Row],[State_Code]],Territory_by_Code[],2)</f>
        <v>Mississippi</v>
      </c>
      <c r="C1426" t="s">
        <v>128</v>
      </c>
      <c r="D1426">
        <v>9998</v>
      </c>
      <c r="E1426">
        <v>628</v>
      </c>
    </row>
    <row r="1427" spans="1:5" x14ac:dyDescent="0.25">
      <c r="A1427" t="s">
        <v>997</v>
      </c>
      <c r="B1427" t="str">
        <f>VLOOKUP(Counties_by_State_Code[[#This Row],[State_Code]],Territory_by_Code[],2)</f>
        <v>Mississippi</v>
      </c>
      <c r="C1427" t="s">
        <v>625</v>
      </c>
      <c r="D1427">
        <v>17106</v>
      </c>
      <c r="E1427">
        <v>502</v>
      </c>
    </row>
    <row r="1428" spans="1:5" x14ac:dyDescent="0.25">
      <c r="A1428" t="s">
        <v>997</v>
      </c>
      <c r="B1428" t="str">
        <f>VLOOKUP(Counties_by_State_Code[[#This Row],[State_Code]],Territory_by_Code[],2)</f>
        <v>Mississippi</v>
      </c>
      <c r="C1428" t="s">
        <v>12</v>
      </c>
      <c r="D1428">
        <v>8246</v>
      </c>
      <c r="E1428">
        <v>419</v>
      </c>
    </row>
    <row r="1429" spans="1:5" x14ac:dyDescent="0.25">
      <c r="A1429" t="s">
        <v>997</v>
      </c>
      <c r="B1429" t="str">
        <f>VLOOKUP(Counties_by_State_Code[[#This Row],[State_Code]],Territory_by_Code[],2)</f>
        <v>Mississippi</v>
      </c>
      <c r="C1429" t="s">
        <v>796</v>
      </c>
      <c r="D1429">
        <v>9135</v>
      </c>
      <c r="E1429">
        <v>487</v>
      </c>
    </row>
    <row r="1430" spans="1:5" x14ac:dyDescent="0.25">
      <c r="A1430" t="s">
        <v>997</v>
      </c>
      <c r="B1430" t="str">
        <f>VLOOKUP(Counties_by_State_Code[[#This Row],[State_Code]],Territory_by_Code[],2)</f>
        <v>Mississippi</v>
      </c>
      <c r="C1430" t="s">
        <v>13</v>
      </c>
      <c r="D1430">
        <v>15615</v>
      </c>
      <c r="E1430">
        <v>691</v>
      </c>
    </row>
    <row r="1431" spans="1:5" x14ac:dyDescent="0.25">
      <c r="A1431" t="s">
        <v>997</v>
      </c>
      <c r="B1431" t="str">
        <f>VLOOKUP(Counties_by_State_Code[[#This Row],[State_Code]],Territory_by_Code[],2)</f>
        <v>Mississippi</v>
      </c>
      <c r="C1431" t="s">
        <v>14</v>
      </c>
      <c r="D1431">
        <v>18636</v>
      </c>
      <c r="E1431">
        <v>409</v>
      </c>
    </row>
    <row r="1432" spans="1:5" x14ac:dyDescent="0.25">
      <c r="A1432" t="s">
        <v>997</v>
      </c>
      <c r="B1432" t="str">
        <f>VLOOKUP(Counties_by_State_Code[[#This Row],[State_Code]],Territory_by_Code[],2)</f>
        <v>Mississippi</v>
      </c>
      <c r="C1432" t="s">
        <v>1002</v>
      </c>
      <c r="D1432">
        <v>21390</v>
      </c>
      <c r="E1432">
        <v>554</v>
      </c>
    </row>
    <row r="1433" spans="1:5" x14ac:dyDescent="0.25">
      <c r="A1433" t="s">
        <v>997</v>
      </c>
      <c r="B1433" t="str">
        <f>VLOOKUP(Counties_by_State_Code[[#This Row],[State_Code]],Territory_by_Code[],2)</f>
        <v>Mississippi</v>
      </c>
      <c r="C1433" t="s">
        <v>1003</v>
      </c>
      <c r="D1433">
        <v>28368</v>
      </c>
      <c r="E1433">
        <v>777</v>
      </c>
    </row>
    <row r="1434" spans="1:5" x14ac:dyDescent="0.25">
      <c r="A1434" t="s">
        <v>997</v>
      </c>
      <c r="B1434" t="str">
        <f>VLOOKUP(Counties_by_State_Code[[#This Row],[State_Code]],Territory_by_Code[],2)</f>
        <v>Mississippi</v>
      </c>
      <c r="C1434" t="s">
        <v>20</v>
      </c>
      <c r="D1434">
        <v>18340</v>
      </c>
      <c r="E1434">
        <v>414</v>
      </c>
    </row>
    <row r="1435" spans="1:5" x14ac:dyDescent="0.25">
      <c r="A1435" t="s">
        <v>997</v>
      </c>
      <c r="B1435" t="str">
        <f>VLOOKUP(Counties_by_State_Code[[#This Row],[State_Code]],Territory_by_Code[],2)</f>
        <v>Mississippi</v>
      </c>
      <c r="C1435" t="s">
        <v>326</v>
      </c>
      <c r="D1435">
        <v>185314</v>
      </c>
      <c r="E1435">
        <v>478</v>
      </c>
    </row>
    <row r="1436" spans="1:5" x14ac:dyDescent="0.25">
      <c r="A1436" t="s">
        <v>997</v>
      </c>
      <c r="B1436" t="str">
        <f>VLOOKUP(Counties_by_State_Code[[#This Row],[State_Code]],Territory_by_Code[],2)</f>
        <v>Mississippi</v>
      </c>
      <c r="C1436" t="s">
        <v>1004</v>
      </c>
      <c r="D1436">
        <v>78158</v>
      </c>
      <c r="E1436">
        <v>467</v>
      </c>
    </row>
    <row r="1437" spans="1:5" x14ac:dyDescent="0.25">
      <c r="A1437" t="s">
        <v>997</v>
      </c>
      <c r="B1437" t="str">
        <f>VLOOKUP(Counties_by_State_Code[[#This Row],[State_Code]],Territory_by_Code[],2)</f>
        <v>Mississippi</v>
      </c>
      <c r="C1437" t="s">
        <v>30</v>
      </c>
      <c r="D1437">
        <v>7675</v>
      </c>
      <c r="E1437">
        <v>565</v>
      </c>
    </row>
    <row r="1438" spans="1:5" x14ac:dyDescent="0.25">
      <c r="A1438" t="s">
        <v>997</v>
      </c>
      <c r="B1438" t="str">
        <f>VLOOKUP(Counties_by_State_Code[[#This Row],[State_Code]],Territory_by_Code[],2)</f>
        <v>Mississippi</v>
      </c>
      <c r="C1438" t="s">
        <v>1005</v>
      </c>
      <c r="D1438">
        <v>24350</v>
      </c>
      <c r="E1438">
        <v>478</v>
      </c>
    </row>
    <row r="1439" spans="1:5" x14ac:dyDescent="0.25">
      <c r="A1439" t="s">
        <v>997</v>
      </c>
      <c r="B1439" t="str">
        <f>VLOOKUP(Counties_by_State_Code[[#This Row],[State_Code]],Territory_by_Code[],2)</f>
        <v>Mississippi</v>
      </c>
      <c r="C1439" t="s">
        <v>32</v>
      </c>
      <c r="D1439">
        <v>13530</v>
      </c>
      <c r="E1439">
        <v>713</v>
      </c>
    </row>
    <row r="1440" spans="1:5" x14ac:dyDescent="0.25">
      <c r="A1440" t="s">
        <v>997</v>
      </c>
      <c r="B1440" t="str">
        <f>VLOOKUP(Counties_by_State_Code[[#This Row],[State_Code]],Territory_by_Code[],2)</f>
        <v>Mississippi</v>
      </c>
      <c r="C1440" t="s">
        <v>1006</v>
      </c>
      <c r="D1440">
        <v>21629</v>
      </c>
      <c r="E1440">
        <v>422</v>
      </c>
    </row>
    <row r="1441" spans="1:5" x14ac:dyDescent="0.25">
      <c r="A1441" t="s">
        <v>997</v>
      </c>
      <c r="B1441" t="str">
        <f>VLOOKUP(Counties_by_State_Code[[#This Row],[State_Code]],Territory_by_Code[],2)</f>
        <v>Mississippi</v>
      </c>
      <c r="C1441" t="s">
        <v>418</v>
      </c>
      <c r="D1441">
        <v>46053</v>
      </c>
      <c r="E1441">
        <v>477</v>
      </c>
    </row>
    <row r="1442" spans="1:5" x14ac:dyDescent="0.25">
      <c r="A1442" t="s">
        <v>997</v>
      </c>
      <c r="B1442" t="str">
        <f>VLOOKUP(Counties_by_State_Code[[#This Row],[State_Code]],Territory_by_Code[],2)</f>
        <v>Mississippi</v>
      </c>
      <c r="C1442" t="s">
        <v>583</v>
      </c>
      <c r="D1442">
        <v>208621</v>
      </c>
      <c r="E1442">
        <v>581</v>
      </c>
    </row>
    <row r="1443" spans="1:5" x14ac:dyDescent="0.25">
      <c r="A1443" t="s">
        <v>997</v>
      </c>
      <c r="B1443" t="str">
        <f>VLOOKUP(Counties_by_State_Code[[#This Row],[State_Code]],Territory_by_Code[],2)</f>
        <v>Mississippi</v>
      </c>
      <c r="C1443" t="s">
        <v>1007</v>
      </c>
      <c r="D1443">
        <v>227742</v>
      </c>
      <c r="E1443">
        <v>869</v>
      </c>
    </row>
    <row r="1444" spans="1:5" x14ac:dyDescent="0.25">
      <c r="A1444" t="s">
        <v>997</v>
      </c>
      <c r="B1444" t="str">
        <f>VLOOKUP(Counties_by_State_Code[[#This Row],[State_Code]],Territory_by_Code[],2)</f>
        <v>Mississippi</v>
      </c>
      <c r="C1444" t="s">
        <v>340</v>
      </c>
      <c r="D1444">
        <v>17000</v>
      </c>
      <c r="E1444">
        <v>756</v>
      </c>
    </row>
    <row r="1445" spans="1:5" x14ac:dyDescent="0.25">
      <c r="A1445" t="s">
        <v>997</v>
      </c>
      <c r="B1445" t="str">
        <f>VLOOKUP(Counties_by_State_Code[[#This Row],[State_Code]],Territory_by_Code[],2)</f>
        <v>Mississippi</v>
      </c>
      <c r="C1445" t="s">
        <v>1008</v>
      </c>
      <c r="D1445">
        <v>7785</v>
      </c>
      <c r="E1445">
        <v>418</v>
      </c>
    </row>
    <row r="1446" spans="1:5" x14ac:dyDescent="0.25">
      <c r="A1446" t="s">
        <v>997</v>
      </c>
      <c r="B1446" t="str">
        <f>VLOOKUP(Counties_by_State_Code[[#This Row],[State_Code]],Territory_by_Code[],2)</f>
        <v>Mississippi</v>
      </c>
      <c r="C1446" t="s">
        <v>1009</v>
      </c>
      <c r="D1446">
        <v>1338</v>
      </c>
      <c r="E1446">
        <v>413</v>
      </c>
    </row>
    <row r="1447" spans="1:5" x14ac:dyDescent="0.25">
      <c r="A1447" t="s">
        <v>997</v>
      </c>
      <c r="B1447" t="str">
        <f>VLOOKUP(Counties_by_State_Code[[#This Row],[State_Code]],Territory_by_Code[],2)</f>
        <v>Mississippi</v>
      </c>
      <c r="C1447" t="s">
        <v>1010</v>
      </c>
      <c r="D1447">
        <v>23863</v>
      </c>
      <c r="E1447">
        <v>532</v>
      </c>
    </row>
    <row r="1448" spans="1:5" x14ac:dyDescent="0.25">
      <c r="A1448" t="s">
        <v>997</v>
      </c>
      <c r="B1448" t="str">
        <f>VLOOKUP(Counties_by_State_Code[[#This Row],[State_Code]],Territory_by_Code[],2)</f>
        <v>Mississippi</v>
      </c>
      <c r="C1448" t="s">
        <v>36</v>
      </c>
      <c r="D1448">
        <v>143252</v>
      </c>
      <c r="E1448">
        <v>727</v>
      </c>
    </row>
    <row r="1449" spans="1:5" x14ac:dyDescent="0.25">
      <c r="A1449" t="s">
        <v>997</v>
      </c>
      <c r="B1449" t="str">
        <f>VLOOKUP(Counties_by_State_Code[[#This Row],[State_Code]],Territory_by_Code[],2)</f>
        <v>Mississippi</v>
      </c>
      <c r="C1449" t="s">
        <v>424</v>
      </c>
      <c r="D1449">
        <v>16367</v>
      </c>
      <c r="E1449">
        <v>676</v>
      </c>
    </row>
    <row r="1450" spans="1:5" x14ac:dyDescent="0.25">
      <c r="A1450" t="s">
        <v>997</v>
      </c>
      <c r="B1450" t="str">
        <f>VLOOKUP(Counties_by_State_Code[[#This Row],[State_Code]],Territory_by_Code[],2)</f>
        <v>Mississippi</v>
      </c>
      <c r="C1450" t="s">
        <v>37</v>
      </c>
      <c r="D1450">
        <v>7260</v>
      </c>
      <c r="E1450">
        <v>519</v>
      </c>
    </row>
    <row r="1451" spans="1:5" x14ac:dyDescent="0.25">
      <c r="A1451" t="s">
        <v>997</v>
      </c>
      <c r="B1451" t="str">
        <f>VLOOKUP(Counties_by_State_Code[[#This Row],[State_Code]],Territory_by_Code[],2)</f>
        <v>Mississippi</v>
      </c>
      <c r="C1451" t="s">
        <v>805</v>
      </c>
      <c r="D1451">
        <v>11321</v>
      </c>
      <c r="E1451">
        <v>408</v>
      </c>
    </row>
    <row r="1452" spans="1:5" x14ac:dyDescent="0.25">
      <c r="A1452" t="s">
        <v>997</v>
      </c>
      <c r="B1452" t="str">
        <f>VLOOKUP(Counties_by_State_Code[[#This Row],[State_Code]],Territory_by_Code[],2)</f>
        <v>Mississippi</v>
      </c>
      <c r="C1452" t="s">
        <v>427</v>
      </c>
      <c r="D1452">
        <v>67246</v>
      </c>
      <c r="E1452">
        <v>694</v>
      </c>
    </row>
    <row r="1453" spans="1:5" x14ac:dyDescent="0.25">
      <c r="A1453" t="s">
        <v>997</v>
      </c>
      <c r="B1453" t="str">
        <f>VLOOKUP(Counties_by_State_Code[[#This Row],[State_Code]],Territory_by_Code[],2)</f>
        <v>Mississippi</v>
      </c>
      <c r="C1453" t="s">
        <v>1011</v>
      </c>
      <c r="D1453">
        <v>8988</v>
      </c>
      <c r="E1453">
        <v>766</v>
      </c>
    </row>
    <row r="1454" spans="1:5" x14ac:dyDescent="0.25">
      <c r="A1454" t="s">
        <v>997</v>
      </c>
      <c r="B1454" t="str">
        <f>VLOOKUP(Counties_by_State_Code[[#This Row],[State_Code]],Territory_by_Code[],2)</f>
        <v>Mississippi</v>
      </c>
      <c r="C1454" t="s">
        <v>150</v>
      </c>
      <c r="D1454">
        <v>55813</v>
      </c>
      <c r="E1454">
        <v>631</v>
      </c>
    </row>
    <row r="1455" spans="1:5" x14ac:dyDescent="0.25">
      <c r="A1455" t="s">
        <v>997</v>
      </c>
      <c r="B1455" t="str">
        <f>VLOOKUP(Counties_by_State_Code[[#This Row],[State_Code]],Territory_by_Code[],2)</f>
        <v>Mississippi</v>
      </c>
      <c r="C1455" t="s">
        <v>38</v>
      </c>
      <c r="D1455">
        <v>64222</v>
      </c>
      <c r="E1455">
        <v>497</v>
      </c>
    </row>
    <row r="1456" spans="1:5" x14ac:dyDescent="0.25">
      <c r="A1456" t="s">
        <v>997</v>
      </c>
      <c r="B1456" t="str">
        <f>VLOOKUP(Counties_by_State_Code[[#This Row],[State_Code]],Territory_by_Code[],2)</f>
        <v>Mississippi</v>
      </c>
      <c r="C1456" t="s">
        <v>39</v>
      </c>
      <c r="D1456">
        <v>72984</v>
      </c>
      <c r="E1456">
        <v>704</v>
      </c>
    </row>
    <row r="1457" spans="1:5" x14ac:dyDescent="0.25">
      <c r="A1457" t="s">
        <v>997</v>
      </c>
      <c r="B1457" t="str">
        <f>VLOOKUP(Counties_by_State_Code[[#This Row],[State_Code]],Territory_by_Code[],2)</f>
        <v>Mississippi</v>
      </c>
      <c r="C1457" t="s">
        <v>40</v>
      </c>
      <c r="D1457">
        <v>12016</v>
      </c>
      <c r="E1457">
        <v>431</v>
      </c>
    </row>
    <row r="1458" spans="1:5" x14ac:dyDescent="0.25">
      <c r="A1458" t="s">
        <v>997</v>
      </c>
      <c r="B1458" t="str">
        <f>VLOOKUP(Counties_by_State_Code[[#This Row],[State_Code]],Territory_by_Code[],2)</f>
        <v>Mississippi</v>
      </c>
      <c r="C1458" t="s">
        <v>1012</v>
      </c>
      <c r="D1458">
        <v>21275</v>
      </c>
      <c r="E1458">
        <v>583</v>
      </c>
    </row>
    <row r="1459" spans="1:5" x14ac:dyDescent="0.25">
      <c r="A1459" t="s">
        <v>997</v>
      </c>
      <c r="B1459" t="str">
        <f>VLOOKUP(Counties_by_State_Code[[#This Row],[State_Code]],Territory_by_Code[],2)</f>
        <v>Mississippi</v>
      </c>
      <c r="C1459" t="s">
        <v>41</v>
      </c>
      <c r="D1459">
        <v>83343</v>
      </c>
      <c r="E1459">
        <v>450</v>
      </c>
    </row>
    <row r="1460" spans="1:5" x14ac:dyDescent="0.25">
      <c r="A1460" t="s">
        <v>997</v>
      </c>
      <c r="B1460" t="str">
        <f>VLOOKUP(Counties_by_State_Code[[#This Row],[State_Code]],Territory_by_Code[],2)</f>
        <v>Mississippi</v>
      </c>
      <c r="C1460" t="s">
        <v>1013</v>
      </c>
      <c r="D1460">
        <v>28339</v>
      </c>
      <c r="E1460">
        <v>592</v>
      </c>
    </row>
    <row r="1461" spans="1:5" x14ac:dyDescent="0.25">
      <c r="A1461" t="s">
        <v>997</v>
      </c>
      <c r="B1461" t="str">
        <f>VLOOKUP(Counties_by_State_Code[[#This Row],[State_Code]],Territory_by_Code[],2)</f>
        <v>Mississippi</v>
      </c>
      <c r="C1461" t="s">
        <v>151</v>
      </c>
      <c r="D1461">
        <v>34907</v>
      </c>
      <c r="E1461">
        <v>586</v>
      </c>
    </row>
    <row r="1462" spans="1:5" x14ac:dyDescent="0.25">
      <c r="A1462" t="s">
        <v>997</v>
      </c>
      <c r="B1462" t="str">
        <f>VLOOKUP(Counties_by_State_Code[[#This Row],[State_Code]],Territory_by_Code[],2)</f>
        <v>Mississippi</v>
      </c>
      <c r="C1462" t="s">
        <v>43</v>
      </c>
      <c r="D1462">
        <v>58879</v>
      </c>
      <c r="E1462">
        <v>502</v>
      </c>
    </row>
    <row r="1463" spans="1:5" x14ac:dyDescent="0.25">
      <c r="A1463" t="s">
        <v>997</v>
      </c>
      <c r="B1463" t="str">
        <f>VLOOKUP(Counties_by_State_Code[[#This Row],[State_Code]],Territory_by_Code[],2)</f>
        <v>Mississippi</v>
      </c>
      <c r="C1463" t="s">
        <v>45</v>
      </c>
      <c r="D1463">
        <v>109145</v>
      </c>
      <c r="E1463">
        <v>719</v>
      </c>
    </row>
    <row r="1464" spans="1:5" x14ac:dyDescent="0.25">
      <c r="A1464" t="s">
        <v>997</v>
      </c>
      <c r="B1464" t="str">
        <f>VLOOKUP(Counties_by_State_Code[[#This Row],[State_Code]],Territory_by_Code[],2)</f>
        <v>Mississippi</v>
      </c>
      <c r="C1464" t="s">
        <v>47</v>
      </c>
      <c r="D1464">
        <v>24441</v>
      </c>
      <c r="E1464">
        <v>542</v>
      </c>
    </row>
    <row r="1465" spans="1:5" x14ac:dyDescent="0.25">
      <c r="A1465" t="s">
        <v>997</v>
      </c>
      <c r="B1465" t="str">
        <f>VLOOKUP(Counties_by_State_Code[[#This Row],[State_Code]],Territory_by_Code[],2)</f>
        <v>Mississippi</v>
      </c>
      <c r="C1465" t="s">
        <v>48</v>
      </c>
      <c r="D1465">
        <v>33752</v>
      </c>
      <c r="E1465">
        <v>706</v>
      </c>
    </row>
    <row r="1466" spans="1:5" x14ac:dyDescent="0.25">
      <c r="A1466" t="s">
        <v>997</v>
      </c>
      <c r="B1466" t="str">
        <f>VLOOKUP(Counties_by_State_Code[[#This Row],[State_Code]],Territory_by_Code[],2)</f>
        <v>Mississippi</v>
      </c>
      <c r="C1466" t="s">
        <v>50</v>
      </c>
      <c r="D1466">
        <v>34180</v>
      </c>
      <c r="E1466">
        <v>764</v>
      </c>
    </row>
    <row r="1467" spans="1:5" x14ac:dyDescent="0.25">
      <c r="A1467" t="s">
        <v>997</v>
      </c>
      <c r="B1467" t="str">
        <f>VLOOKUP(Counties_by_State_Code[[#This Row],[State_Code]],Territory_by_Code[],2)</f>
        <v>Mississippi</v>
      </c>
      <c r="C1467" t="s">
        <v>51</v>
      </c>
      <c r="D1467">
        <v>9822</v>
      </c>
      <c r="E1467">
        <v>407</v>
      </c>
    </row>
    <row r="1468" spans="1:5" x14ac:dyDescent="0.25">
      <c r="A1468" t="s">
        <v>997</v>
      </c>
      <c r="B1468" t="str">
        <f>VLOOKUP(Counties_by_State_Code[[#This Row],[State_Code]],Territory_by_Code[],2)</f>
        <v>Mississippi</v>
      </c>
      <c r="C1468" t="s">
        <v>1014</v>
      </c>
      <c r="D1468">
        <v>29087</v>
      </c>
      <c r="E1468">
        <v>570</v>
      </c>
    </row>
    <row r="1469" spans="1:5" x14ac:dyDescent="0.25">
      <c r="A1469" t="s">
        <v>997</v>
      </c>
      <c r="B1469" t="str">
        <f>VLOOKUP(Counties_by_State_Code[[#This Row],[State_Code]],Territory_by_Code[],2)</f>
        <v>Mississippi</v>
      </c>
      <c r="C1469" t="s">
        <v>158</v>
      </c>
      <c r="D1469">
        <v>21291</v>
      </c>
      <c r="E1469">
        <v>578</v>
      </c>
    </row>
    <row r="1470" spans="1:5" x14ac:dyDescent="0.25">
      <c r="A1470" t="s">
        <v>997</v>
      </c>
      <c r="B1470" t="str">
        <f>VLOOKUP(Counties_by_State_Code[[#This Row],[State_Code]],Territory_by_Code[],2)</f>
        <v>Mississippi</v>
      </c>
      <c r="C1470" t="s">
        <v>1015</v>
      </c>
      <c r="D1470">
        <v>10285</v>
      </c>
      <c r="E1470">
        <v>695</v>
      </c>
    </row>
    <row r="1471" spans="1:5" x14ac:dyDescent="0.25">
      <c r="A1471" t="s">
        <v>997</v>
      </c>
      <c r="B1471" t="str">
        <f>VLOOKUP(Counties_by_State_Code[[#This Row],[State_Code]],Territory_by_Code[],2)</f>
        <v>Mississippi</v>
      </c>
      <c r="C1471" t="s">
        <v>1016</v>
      </c>
      <c r="D1471">
        <v>51788</v>
      </c>
      <c r="E1471">
        <v>458</v>
      </c>
    </row>
    <row r="1472" spans="1:5" x14ac:dyDescent="0.25">
      <c r="A1472" t="s">
        <v>997</v>
      </c>
      <c r="B1472" t="str">
        <f>VLOOKUP(Counties_by_State_Code[[#This Row],[State_Code]],Territory_by_Code[],2)</f>
        <v>Mississippi</v>
      </c>
      <c r="C1472" t="s">
        <v>1017</v>
      </c>
      <c r="D1472">
        <v>33208</v>
      </c>
      <c r="E1472">
        <v>684</v>
      </c>
    </row>
    <row r="1473" spans="1:5" x14ac:dyDescent="0.25">
      <c r="A1473" t="s">
        <v>997</v>
      </c>
      <c r="B1473" t="str">
        <f>VLOOKUP(Counties_by_State_Code[[#This Row],[State_Code]],Territory_by_Code[],2)</f>
        <v>Mississippi</v>
      </c>
      <c r="C1473" t="s">
        <v>1018</v>
      </c>
      <c r="D1473">
        <v>56145</v>
      </c>
      <c r="E1473">
        <v>812</v>
      </c>
    </row>
    <row r="1474" spans="1:5" x14ac:dyDescent="0.25">
      <c r="A1474" t="s">
        <v>997</v>
      </c>
      <c r="B1474" t="str">
        <f>VLOOKUP(Counties_by_State_Code[[#This Row],[State_Code]],Territory_by_Code[],2)</f>
        <v>Mississippi</v>
      </c>
      <c r="C1474" t="s">
        <v>53</v>
      </c>
      <c r="D1474">
        <v>11511</v>
      </c>
      <c r="E1474">
        <v>647</v>
      </c>
    </row>
    <row r="1475" spans="1:5" x14ac:dyDescent="0.25">
      <c r="A1475" t="s">
        <v>997</v>
      </c>
      <c r="B1475" t="str">
        <f>VLOOKUP(Counties_by_State_Code[[#This Row],[State_Code]],Territory_by_Code[],2)</f>
        <v>Mississippi</v>
      </c>
      <c r="C1475" t="s">
        <v>55</v>
      </c>
      <c r="D1475">
        <v>40324</v>
      </c>
      <c r="E1475">
        <v>409</v>
      </c>
    </row>
    <row r="1476" spans="1:5" x14ac:dyDescent="0.25">
      <c r="A1476" t="s">
        <v>997</v>
      </c>
      <c r="B1476" t="str">
        <f>VLOOKUP(Counties_by_State_Code[[#This Row],[State_Code]],Territory_by_Code[],2)</f>
        <v>Mississippi</v>
      </c>
      <c r="C1476" t="s">
        <v>1019</v>
      </c>
      <c r="D1476">
        <v>31184</v>
      </c>
      <c r="E1476">
        <v>497</v>
      </c>
    </row>
    <row r="1477" spans="1:5" x14ac:dyDescent="0.25">
      <c r="A1477" t="s">
        <v>997</v>
      </c>
      <c r="B1477" t="str">
        <f>VLOOKUP(Counties_by_State_Code[[#This Row],[State_Code]],Territory_by_Code[],2)</f>
        <v>Mississippi</v>
      </c>
      <c r="C1477" t="s">
        <v>1020</v>
      </c>
      <c r="D1477">
        <v>25008</v>
      </c>
      <c r="E1477">
        <v>415</v>
      </c>
    </row>
    <row r="1478" spans="1:5" x14ac:dyDescent="0.25">
      <c r="A1478" t="s">
        <v>997</v>
      </c>
      <c r="B1478" t="str">
        <f>VLOOKUP(Counties_by_State_Code[[#This Row],[State_Code]],Territory_by_Code[],2)</f>
        <v>Mississippi</v>
      </c>
      <c r="C1478" t="s">
        <v>443</v>
      </c>
      <c r="D1478">
        <v>6176</v>
      </c>
      <c r="E1478">
        <v>405</v>
      </c>
    </row>
    <row r="1479" spans="1:5" x14ac:dyDescent="0.25">
      <c r="A1479" t="s">
        <v>997</v>
      </c>
      <c r="B1479" t="str">
        <f>VLOOKUP(Counties_by_State_Code[[#This Row],[State_Code]],Territory_by_Code[],2)</f>
        <v>Mississippi</v>
      </c>
      <c r="C1479" t="s">
        <v>1021</v>
      </c>
      <c r="D1479">
        <v>157031</v>
      </c>
      <c r="E1479">
        <v>775</v>
      </c>
    </row>
    <row r="1480" spans="1:5" x14ac:dyDescent="0.25">
      <c r="A1480" t="s">
        <v>997</v>
      </c>
      <c r="B1480" t="str">
        <f>VLOOKUP(Counties_by_State_Code[[#This Row],[State_Code]],Territory_by_Code[],2)</f>
        <v>Mississippi</v>
      </c>
      <c r="C1480" t="s">
        <v>168</v>
      </c>
      <c r="D1480">
        <v>27990</v>
      </c>
      <c r="E1480">
        <v>609</v>
      </c>
    </row>
    <row r="1481" spans="1:5" x14ac:dyDescent="0.25">
      <c r="A1481" t="s">
        <v>997</v>
      </c>
      <c r="B1481" t="str">
        <f>VLOOKUP(Counties_by_State_Code[[#This Row],[State_Code]],Territory_by_Code[],2)</f>
        <v>Mississippi</v>
      </c>
      <c r="C1481" t="s">
        <v>1022</v>
      </c>
      <c r="D1481">
        <v>3800</v>
      </c>
      <c r="E1481">
        <v>428</v>
      </c>
    </row>
    <row r="1482" spans="1:5" x14ac:dyDescent="0.25">
      <c r="A1482" t="s">
        <v>997</v>
      </c>
      <c r="B1482" t="str">
        <f>VLOOKUP(Counties_by_State_Code[[#This Row],[State_Code]],Territory_by_Code[],2)</f>
        <v>Mississippi</v>
      </c>
      <c r="C1482" t="s">
        <v>779</v>
      </c>
      <c r="D1482">
        <v>25949</v>
      </c>
      <c r="E1482">
        <v>589</v>
      </c>
    </row>
    <row r="1483" spans="1:5" x14ac:dyDescent="0.25">
      <c r="A1483" t="s">
        <v>997</v>
      </c>
      <c r="B1483" t="str">
        <f>VLOOKUP(Counties_by_State_Code[[#This Row],[State_Code]],Territory_by_Code[],2)</f>
        <v>Mississippi</v>
      </c>
      <c r="C1483" t="s">
        <v>716</v>
      </c>
      <c r="D1483">
        <v>14209</v>
      </c>
      <c r="E1483">
        <v>636</v>
      </c>
    </row>
    <row r="1484" spans="1:5" x14ac:dyDescent="0.25">
      <c r="A1484" t="s">
        <v>997</v>
      </c>
      <c r="B1484" t="str">
        <f>VLOOKUP(Counties_by_State_Code[[#This Row],[State_Code]],Territory_by_Code[],2)</f>
        <v>Mississippi</v>
      </c>
      <c r="C1484" t="s">
        <v>173</v>
      </c>
      <c r="D1484">
        <v>18333</v>
      </c>
      <c r="E1484">
        <v>445</v>
      </c>
    </row>
    <row r="1485" spans="1:5" x14ac:dyDescent="0.25">
      <c r="A1485" t="s">
        <v>997</v>
      </c>
      <c r="B1485" t="str">
        <f>VLOOKUP(Counties_by_State_Code[[#This Row],[State_Code]],Territory_by_Code[],2)</f>
        <v>Mississippi</v>
      </c>
      <c r="C1485" t="s">
        <v>1023</v>
      </c>
      <c r="D1485">
        <v>25971</v>
      </c>
      <c r="E1485">
        <v>694</v>
      </c>
    </row>
    <row r="1486" spans="1:5" x14ac:dyDescent="0.25">
      <c r="A1486" t="s">
        <v>997</v>
      </c>
      <c r="B1486" t="str">
        <f>VLOOKUP(Counties_by_State_Code[[#This Row],[State_Code]],Territory_by_Code[],2)</f>
        <v>Mississippi</v>
      </c>
      <c r="C1486" t="s">
        <v>1024</v>
      </c>
      <c r="D1486">
        <v>12715</v>
      </c>
      <c r="E1486">
        <v>644</v>
      </c>
    </row>
    <row r="1487" spans="1:5" x14ac:dyDescent="0.25">
      <c r="A1487" t="s">
        <v>997</v>
      </c>
      <c r="B1487" t="str">
        <f>VLOOKUP(Counties_by_State_Code[[#This Row],[State_Code]],Territory_by_Code[],2)</f>
        <v>Mississippi</v>
      </c>
      <c r="C1487" t="s">
        <v>1025</v>
      </c>
      <c r="D1487">
        <v>28064</v>
      </c>
      <c r="E1487">
        <v>404</v>
      </c>
    </row>
    <row r="1488" spans="1:5" x14ac:dyDescent="0.25">
      <c r="A1488" t="s">
        <v>997</v>
      </c>
      <c r="B1488" t="str">
        <f>VLOOKUP(Counties_by_State_Code[[#This Row],[State_Code]],Territory_by_Code[],2)</f>
        <v>Mississippi</v>
      </c>
      <c r="C1488" t="s">
        <v>1026</v>
      </c>
      <c r="D1488">
        <v>21815</v>
      </c>
      <c r="E1488">
        <v>458</v>
      </c>
    </row>
    <row r="1489" spans="1:5" x14ac:dyDescent="0.25">
      <c r="A1489" t="s">
        <v>997</v>
      </c>
      <c r="B1489" t="str">
        <f>VLOOKUP(Counties_by_State_Code[[#This Row],[State_Code]],Territory_by_Code[],2)</f>
        <v>Mississippi</v>
      </c>
      <c r="C1489" t="s">
        <v>1027</v>
      </c>
      <c r="D1489">
        <v>18850</v>
      </c>
      <c r="E1489">
        <v>424</v>
      </c>
    </row>
    <row r="1490" spans="1:5" x14ac:dyDescent="0.25">
      <c r="A1490" t="s">
        <v>997</v>
      </c>
      <c r="B1490" t="str">
        <f>VLOOKUP(Counties_by_State_Code[[#This Row],[State_Code]],Territory_by_Code[],2)</f>
        <v>Mississippi</v>
      </c>
      <c r="C1490" t="s">
        <v>1028</v>
      </c>
      <c r="D1490">
        <v>9782</v>
      </c>
      <c r="E1490">
        <v>455</v>
      </c>
    </row>
    <row r="1491" spans="1:5" x14ac:dyDescent="0.25">
      <c r="A1491" t="s">
        <v>997</v>
      </c>
      <c r="B1491" t="str">
        <f>VLOOKUP(Counties_by_State_Code[[#This Row],[State_Code]],Territory_by_Code[],2)</f>
        <v>Mississippi</v>
      </c>
      <c r="C1491" t="s">
        <v>174</v>
      </c>
      <c r="D1491">
        <v>27777</v>
      </c>
      <c r="E1491">
        <v>416</v>
      </c>
    </row>
    <row r="1492" spans="1:5" x14ac:dyDescent="0.25">
      <c r="A1492" t="s">
        <v>997</v>
      </c>
      <c r="B1492" t="str">
        <f>VLOOKUP(Counties_by_State_Code[[#This Row],[State_Code]],Territory_by_Code[],2)</f>
        <v>Mississippi</v>
      </c>
      <c r="C1492" t="s">
        <v>1029</v>
      </c>
      <c r="D1492">
        <v>13884</v>
      </c>
      <c r="E1492">
        <v>404</v>
      </c>
    </row>
    <row r="1493" spans="1:5" x14ac:dyDescent="0.25">
      <c r="A1493" t="s">
        <v>997</v>
      </c>
      <c r="B1493" t="str">
        <f>VLOOKUP(Counties_by_State_Code[[#This Row],[State_Code]],Territory_by_Code[],2)</f>
        <v>Mississippi</v>
      </c>
      <c r="C1493" t="s">
        <v>467</v>
      </c>
      <c r="D1493">
        <v>44722</v>
      </c>
      <c r="E1493">
        <v>587</v>
      </c>
    </row>
    <row r="1494" spans="1:5" x14ac:dyDescent="0.25">
      <c r="A1494" t="s">
        <v>997</v>
      </c>
      <c r="B1494" t="str">
        <f>VLOOKUP(Counties_by_State_Code[[#This Row],[State_Code]],Territory_by_Code[],2)</f>
        <v>Mississippi</v>
      </c>
      <c r="C1494" t="s">
        <v>65</v>
      </c>
      <c r="D1494">
        <v>44922</v>
      </c>
      <c r="E1494">
        <v>724</v>
      </c>
    </row>
    <row r="1495" spans="1:5" x14ac:dyDescent="0.25">
      <c r="A1495" t="s">
        <v>997</v>
      </c>
      <c r="B1495" t="str">
        <f>VLOOKUP(Counties_by_State_Code[[#This Row],[State_Code]],Territory_by_Code[],2)</f>
        <v>Mississippi</v>
      </c>
      <c r="C1495" t="s">
        <v>468</v>
      </c>
      <c r="D1495">
        <v>19779</v>
      </c>
      <c r="E1495">
        <v>810</v>
      </c>
    </row>
    <row r="1496" spans="1:5" x14ac:dyDescent="0.25">
      <c r="A1496" t="s">
        <v>997</v>
      </c>
      <c r="B1496" t="str">
        <f>VLOOKUP(Counties_by_State_Code[[#This Row],[State_Code]],Territory_by_Code[],2)</f>
        <v>Mississippi</v>
      </c>
      <c r="C1496" t="s">
        <v>469</v>
      </c>
      <c r="D1496">
        <v>9926</v>
      </c>
      <c r="E1496">
        <v>423</v>
      </c>
    </row>
    <row r="1497" spans="1:5" x14ac:dyDescent="0.25">
      <c r="A1497" t="s">
        <v>997</v>
      </c>
      <c r="B1497" t="str">
        <f>VLOOKUP(Counties_by_State_Code[[#This Row],[State_Code]],Territory_by_Code[],2)</f>
        <v>Mississippi</v>
      </c>
      <c r="C1497" t="s">
        <v>473</v>
      </c>
      <c r="D1497">
        <v>8587</v>
      </c>
      <c r="E1497">
        <v>677</v>
      </c>
    </row>
    <row r="1498" spans="1:5" x14ac:dyDescent="0.25">
      <c r="A1498" t="s">
        <v>997</v>
      </c>
      <c r="B1498" t="str">
        <f>VLOOKUP(Counties_by_State_Code[[#This Row],[State_Code]],Territory_by_Code[],2)</f>
        <v>Mississippi</v>
      </c>
      <c r="C1498" t="s">
        <v>67</v>
      </c>
      <c r="D1498">
        <v>17714</v>
      </c>
      <c r="E1498">
        <v>607</v>
      </c>
    </row>
    <row r="1499" spans="1:5" x14ac:dyDescent="0.25">
      <c r="A1499" t="s">
        <v>997</v>
      </c>
      <c r="B1499" t="str">
        <f>VLOOKUP(Counties_by_State_Code[[#This Row],[State_Code]],Territory_by_Code[],2)</f>
        <v>Mississippi</v>
      </c>
      <c r="C1499" t="s">
        <v>1030</v>
      </c>
      <c r="D1499">
        <v>12481</v>
      </c>
      <c r="E1499">
        <v>467</v>
      </c>
    </row>
    <row r="1500" spans="1:5" x14ac:dyDescent="0.25">
      <c r="A1500" t="s">
        <v>997</v>
      </c>
      <c r="B1500" t="str">
        <f>VLOOKUP(Counties_by_State_Code[[#This Row],[State_Code]],Territory_by_Code[],2)</f>
        <v>Mississippi</v>
      </c>
      <c r="C1500" t="s">
        <v>1031</v>
      </c>
      <c r="D1500">
        <v>26743</v>
      </c>
      <c r="E1500">
        <v>920</v>
      </c>
    </row>
    <row r="1501" spans="1:5" x14ac:dyDescent="0.25">
      <c r="A1501" t="s">
        <v>1032</v>
      </c>
      <c r="B1501" t="str">
        <f>VLOOKUP(Counties_by_State_Code[[#This Row],[State_Code]],Territory_by_Code[],2)</f>
        <v>Missouri</v>
      </c>
      <c r="C1501" t="s">
        <v>614</v>
      </c>
      <c r="D1501">
        <v>25314</v>
      </c>
      <c r="E1501">
        <v>568</v>
      </c>
    </row>
    <row r="1502" spans="1:5" x14ac:dyDescent="0.25">
      <c r="A1502" t="s">
        <v>1032</v>
      </c>
      <c r="B1502" t="str">
        <f>VLOOKUP(Counties_by_State_Code[[#This Row],[State_Code]],Territory_by_Code[],2)</f>
        <v>Missouri</v>
      </c>
      <c r="C1502" t="s">
        <v>1033</v>
      </c>
      <c r="D1502">
        <v>18135</v>
      </c>
      <c r="E1502">
        <v>435</v>
      </c>
    </row>
    <row r="1503" spans="1:5" x14ac:dyDescent="0.25">
      <c r="A1503" t="s">
        <v>1032</v>
      </c>
      <c r="B1503" t="str">
        <f>VLOOKUP(Counties_by_State_Code[[#This Row],[State_Code]],Territory_by_Code[],2)</f>
        <v>Missouri</v>
      </c>
      <c r="C1503" t="s">
        <v>662</v>
      </c>
      <c r="D1503">
        <v>5305</v>
      </c>
      <c r="E1503">
        <v>545</v>
      </c>
    </row>
    <row r="1504" spans="1:5" x14ac:dyDescent="0.25">
      <c r="A1504" t="s">
        <v>1032</v>
      </c>
      <c r="B1504" t="str">
        <f>VLOOKUP(Counties_by_State_Code[[#This Row],[State_Code]],Territory_by_Code[],2)</f>
        <v>Missouri</v>
      </c>
      <c r="C1504" t="s">
        <v>1034</v>
      </c>
      <c r="D1504">
        <v>24962</v>
      </c>
      <c r="E1504">
        <v>693</v>
      </c>
    </row>
    <row r="1505" spans="1:5" x14ac:dyDescent="0.25">
      <c r="A1505" t="s">
        <v>1032</v>
      </c>
      <c r="B1505" t="str">
        <f>VLOOKUP(Counties_by_State_Code[[#This Row],[State_Code]],Territory_by_Code[],2)</f>
        <v>Missouri</v>
      </c>
      <c r="C1505" t="s">
        <v>880</v>
      </c>
      <c r="D1505">
        <v>34534</v>
      </c>
      <c r="E1505">
        <v>779</v>
      </c>
    </row>
    <row r="1506" spans="1:5" x14ac:dyDescent="0.25">
      <c r="A1506" t="s">
        <v>1032</v>
      </c>
      <c r="B1506" t="str">
        <f>VLOOKUP(Counties_by_State_Code[[#This Row],[State_Code]],Territory_by_Code[],2)</f>
        <v>Missouri</v>
      </c>
      <c r="C1506" t="s">
        <v>664</v>
      </c>
      <c r="D1506">
        <v>11637</v>
      </c>
      <c r="E1506">
        <v>594</v>
      </c>
    </row>
    <row r="1507" spans="1:5" x14ac:dyDescent="0.25">
      <c r="A1507" t="s">
        <v>1032</v>
      </c>
      <c r="B1507" t="str">
        <f>VLOOKUP(Counties_by_State_Code[[#This Row],[State_Code]],Territory_by_Code[],2)</f>
        <v>Missouri</v>
      </c>
      <c r="C1507" t="s">
        <v>1035</v>
      </c>
      <c r="D1507">
        <v>16042</v>
      </c>
      <c r="E1507">
        <v>848</v>
      </c>
    </row>
    <row r="1508" spans="1:5" x14ac:dyDescent="0.25">
      <c r="A1508" t="s">
        <v>1032</v>
      </c>
      <c r="B1508" t="str">
        <f>VLOOKUP(Counties_by_State_Code[[#This Row],[State_Code]],Territory_by_Code[],2)</f>
        <v>Missouri</v>
      </c>
      <c r="C1508" t="s">
        <v>125</v>
      </c>
      <c r="D1508">
        <v>19394</v>
      </c>
      <c r="E1508">
        <v>706</v>
      </c>
    </row>
    <row r="1509" spans="1:5" x14ac:dyDescent="0.25">
      <c r="A1509" t="s">
        <v>1032</v>
      </c>
      <c r="B1509" t="str">
        <f>VLOOKUP(Counties_by_State_Code[[#This Row],[State_Code]],Territory_by_Code[],2)</f>
        <v>Missouri</v>
      </c>
      <c r="C1509" t="s">
        <v>1036</v>
      </c>
      <c r="D1509">
        <v>10567</v>
      </c>
      <c r="E1509">
        <v>621</v>
      </c>
    </row>
    <row r="1510" spans="1:5" x14ac:dyDescent="0.25">
      <c r="A1510" t="s">
        <v>1032</v>
      </c>
      <c r="B1510" t="str">
        <f>VLOOKUP(Counties_by_State_Code[[#This Row],[State_Code]],Territory_by_Code[],2)</f>
        <v>Missouri</v>
      </c>
      <c r="C1510" t="s">
        <v>126</v>
      </c>
      <c r="D1510">
        <v>183610</v>
      </c>
      <c r="E1510">
        <v>685</v>
      </c>
    </row>
    <row r="1511" spans="1:5" x14ac:dyDescent="0.25">
      <c r="A1511" t="s">
        <v>1032</v>
      </c>
      <c r="B1511" t="str">
        <f>VLOOKUP(Counties_by_State_Code[[#This Row],[State_Code]],Territory_by_Code[],2)</f>
        <v>Missouri</v>
      </c>
      <c r="C1511" t="s">
        <v>621</v>
      </c>
      <c r="D1511">
        <v>84793</v>
      </c>
      <c r="E1511">
        <v>410</v>
      </c>
    </row>
    <row r="1512" spans="1:5" x14ac:dyDescent="0.25">
      <c r="A1512" t="s">
        <v>1032</v>
      </c>
      <c r="B1512" t="str">
        <f>VLOOKUP(Counties_by_State_Code[[#This Row],[State_Code]],Territory_by_Code[],2)</f>
        <v>Missouri</v>
      </c>
      <c r="C1512" t="s">
        <v>7</v>
      </c>
      <c r="D1512">
        <v>42130</v>
      </c>
      <c r="E1512">
        <v>698</v>
      </c>
    </row>
    <row r="1513" spans="1:5" x14ac:dyDescent="0.25">
      <c r="A1513" t="s">
        <v>1032</v>
      </c>
      <c r="B1513" t="str">
        <f>VLOOKUP(Counties_by_State_Code[[#This Row],[State_Code]],Territory_by_Code[],2)</f>
        <v>Missouri</v>
      </c>
      <c r="C1513" t="s">
        <v>739</v>
      </c>
      <c r="D1513">
        <v>8815</v>
      </c>
      <c r="E1513">
        <v>429</v>
      </c>
    </row>
    <row r="1514" spans="1:5" x14ac:dyDescent="0.25">
      <c r="A1514" t="s">
        <v>1032</v>
      </c>
      <c r="B1514" t="str">
        <f>VLOOKUP(Counties_by_State_Code[[#This Row],[State_Code]],Territory_by_Code[],2)</f>
        <v>Missouri</v>
      </c>
      <c r="C1514" t="s">
        <v>1037</v>
      </c>
      <c r="D1514">
        <v>44283</v>
      </c>
      <c r="E1514">
        <v>839</v>
      </c>
    </row>
    <row r="1515" spans="1:5" x14ac:dyDescent="0.25">
      <c r="A1515" t="s">
        <v>1032</v>
      </c>
      <c r="B1515" t="str">
        <f>VLOOKUP(Counties_by_State_Code[[#This Row],[State_Code]],Territory_by_Code[],2)</f>
        <v>Missouri</v>
      </c>
      <c r="C1515" t="s">
        <v>382</v>
      </c>
      <c r="D1515">
        <v>42745</v>
      </c>
      <c r="E1515">
        <v>655</v>
      </c>
    </row>
    <row r="1516" spans="1:5" x14ac:dyDescent="0.25">
      <c r="A1516" t="s">
        <v>1032</v>
      </c>
      <c r="B1516" t="str">
        <f>VLOOKUP(Counties_by_State_Code[[#This Row],[State_Code]],Territory_by_Code[],2)</f>
        <v>Missouri</v>
      </c>
      <c r="C1516" t="s">
        <v>1038</v>
      </c>
      <c r="D1516">
        <v>81710</v>
      </c>
      <c r="E1516">
        <v>579</v>
      </c>
    </row>
    <row r="1517" spans="1:5" x14ac:dyDescent="0.25">
      <c r="A1517" t="s">
        <v>1032</v>
      </c>
      <c r="B1517" t="str">
        <f>VLOOKUP(Counties_by_State_Code[[#This Row],[State_Code]],Territory_by_Code[],2)</f>
        <v>Missouri</v>
      </c>
      <c r="C1517" t="s">
        <v>128</v>
      </c>
      <c r="D1517">
        <v>8495</v>
      </c>
      <c r="E1517">
        <v>695</v>
      </c>
    </row>
    <row r="1518" spans="1:5" x14ac:dyDescent="0.25">
      <c r="A1518" t="s">
        <v>1032</v>
      </c>
      <c r="B1518" t="str">
        <f>VLOOKUP(Counties_by_State_Code[[#This Row],[State_Code]],Territory_by_Code[],2)</f>
        <v>Missouri</v>
      </c>
      <c r="C1518" t="s">
        <v>743</v>
      </c>
      <c r="D1518">
        <v>5202</v>
      </c>
      <c r="E1518">
        <v>508</v>
      </c>
    </row>
    <row r="1519" spans="1:5" x14ac:dyDescent="0.25">
      <c r="A1519" t="s">
        <v>1032</v>
      </c>
      <c r="B1519" t="str">
        <f>VLOOKUP(Counties_by_State_Code[[#This Row],[State_Code]],Territory_by_Code[],2)</f>
        <v>Missouri</v>
      </c>
      <c r="C1519" t="s">
        <v>522</v>
      </c>
      <c r="D1519">
        <v>107824</v>
      </c>
      <c r="E1519">
        <v>699</v>
      </c>
    </row>
    <row r="1520" spans="1:5" x14ac:dyDescent="0.25">
      <c r="A1520" t="s">
        <v>1032</v>
      </c>
      <c r="B1520" t="str">
        <f>VLOOKUP(Counties_by_State_Code[[#This Row],[State_Code]],Territory_by_Code[],2)</f>
        <v>Missouri</v>
      </c>
      <c r="C1520" t="s">
        <v>623</v>
      </c>
      <c r="D1520">
        <v>14188</v>
      </c>
      <c r="E1520">
        <v>476</v>
      </c>
    </row>
    <row r="1521" spans="1:5" x14ac:dyDescent="0.25">
      <c r="A1521" t="s">
        <v>1032</v>
      </c>
      <c r="B1521" t="str">
        <f>VLOOKUP(Counties_by_State_Code[[#This Row],[State_Code]],Territory_by_Code[],2)</f>
        <v>Missouri</v>
      </c>
      <c r="C1521" t="s">
        <v>1039</v>
      </c>
      <c r="D1521">
        <v>7408</v>
      </c>
      <c r="E1521">
        <v>756</v>
      </c>
    </row>
    <row r="1522" spans="1:5" x14ac:dyDescent="0.25">
      <c r="A1522" t="s">
        <v>1032</v>
      </c>
      <c r="B1522" t="str">
        <f>VLOOKUP(Counties_by_State_Code[[#This Row],[State_Code]],Territory_by_Code[],2)</f>
        <v>Missouri</v>
      </c>
      <c r="C1522" t="s">
        <v>524</v>
      </c>
      <c r="D1522">
        <v>88842</v>
      </c>
      <c r="E1522">
        <v>563</v>
      </c>
    </row>
    <row r="1523" spans="1:5" x14ac:dyDescent="0.25">
      <c r="A1523" t="s">
        <v>1032</v>
      </c>
      <c r="B1523" t="str">
        <f>VLOOKUP(Counties_by_State_Code[[#This Row],[State_Code]],Territory_by_Code[],2)</f>
        <v>Missouri</v>
      </c>
      <c r="C1523" t="s">
        <v>130</v>
      </c>
      <c r="D1523">
        <v>6634</v>
      </c>
      <c r="E1523">
        <v>507</v>
      </c>
    </row>
    <row r="1524" spans="1:5" x14ac:dyDescent="0.25">
      <c r="A1524" t="s">
        <v>1032</v>
      </c>
      <c r="B1524" t="str">
        <f>VLOOKUP(Counties_by_State_Code[[#This Row],[State_Code]],Territory_by_Code[],2)</f>
        <v>Missouri</v>
      </c>
      <c r="C1524" t="s">
        <v>14</v>
      </c>
      <c r="D1524">
        <v>253335</v>
      </c>
      <c r="E1524">
        <v>396</v>
      </c>
    </row>
    <row r="1525" spans="1:5" x14ac:dyDescent="0.25">
      <c r="A1525" t="s">
        <v>1032</v>
      </c>
      <c r="B1525" t="str">
        <f>VLOOKUP(Counties_by_State_Code[[#This Row],[State_Code]],Territory_by_Code[],2)</f>
        <v>Missouri</v>
      </c>
      <c r="C1525" t="s">
        <v>525</v>
      </c>
      <c r="D1525">
        <v>21184</v>
      </c>
      <c r="E1525">
        <v>419</v>
      </c>
    </row>
    <row r="1526" spans="1:5" x14ac:dyDescent="0.25">
      <c r="A1526" t="s">
        <v>1032</v>
      </c>
      <c r="B1526" t="str">
        <f>VLOOKUP(Counties_by_State_Code[[#This Row],[State_Code]],Territory_by_Code[],2)</f>
        <v>Missouri</v>
      </c>
      <c r="C1526" t="s">
        <v>1040</v>
      </c>
      <c r="D1526">
        <v>77279</v>
      </c>
      <c r="E1526">
        <v>392</v>
      </c>
    </row>
    <row r="1527" spans="1:5" x14ac:dyDescent="0.25">
      <c r="A1527" t="s">
        <v>1032</v>
      </c>
      <c r="B1527" t="str">
        <f>VLOOKUP(Counties_by_State_Code[[#This Row],[State_Code]],Territory_by_Code[],2)</f>
        <v>Missouri</v>
      </c>
      <c r="C1527" t="s">
        <v>1041</v>
      </c>
      <c r="D1527">
        <v>17103</v>
      </c>
      <c r="E1527">
        <v>565</v>
      </c>
    </row>
    <row r="1528" spans="1:5" x14ac:dyDescent="0.25">
      <c r="A1528" t="s">
        <v>1032</v>
      </c>
      <c r="B1528" t="str">
        <f>VLOOKUP(Counties_by_State_Code[[#This Row],[State_Code]],Territory_by_Code[],2)</f>
        <v>Missouri</v>
      </c>
      <c r="C1528" t="s">
        <v>135</v>
      </c>
      <c r="D1528">
        <v>23056</v>
      </c>
      <c r="E1528">
        <v>743</v>
      </c>
    </row>
    <row r="1529" spans="1:5" x14ac:dyDescent="0.25">
      <c r="A1529" t="s">
        <v>1032</v>
      </c>
      <c r="B1529" t="str">
        <f>VLOOKUP(Counties_by_State_Code[[#This Row],[State_Code]],Territory_by_Code[],2)</f>
        <v>Missouri</v>
      </c>
      <c r="C1529" t="s">
        <v>396</v>
      </c>
      <c r="D1529">
        <v>7569</v>
      </c>
      <c r="E1529">
        <v>490</v>
      </c>
    </row>
    <row r="1530" spans="1:5" x14ac:dyDescent="0.25">
      <c r="A1530" t="s">
        <v>1032</v>
      </c>
      <c r="B1530" t="str">
        <f>VLOOKUP(Counties_by_State_Code[[#This Row],[State_Code]],Territory_by_Code[],2)</f>
        <v>Missouri</v>
      </c>
      <c r="C1530" t="s">
        <v>24</v>
      </c>
      <c r="D1530">
        <v>17071</v>
      </c>
      <c r="E1530">
        <v>542</v>
      </c>
    </row>
    <row r="1531" spans="1:5" x14ac:dyDescent="0.25">
      <c r="A1531" t="s">
        <v>1032</v>
      </c>
      <c r="B1531" t="str">
        <f>VLOOKUP(Counties_by_State_Code[[#This Row],[State_Code]],Territory_by_Code[],2)</f>
        <v>Missouri</v>
      </c>
      <c r="C1531" t="s">
        <v>576</v>
      </c>
      <c r="D1531">
        <v>8430</v>
      </c>
      <c r="E1531">
        <v>567</v>
      </c>
    </row>
    <row r="1532" spans="1:5" x14ac:dyDescent="0.25">
      <c r="A1532" t="s">
        <v>1032</v>
      </c>
      <c r="B1532" t="str">
        <f>VLOOKUP(Counties_by_State_Code[[#This Row],[State_Code]],Territory_by_Code[],2)</f>
        <v>Missouri</v>
      </c>
      <c r="C1532" t="s">
        <v>25</v>
      </c>
      <c r="D1532">
        <v>11029</v>
      </c>
      <c r="E1532">
        <v>424</v>
      </c>
    </row>
    <row r="1533" spans="1:5" x14ac:dyDescent="0.25">
      <c r="A1533" t="s">
        <v>1032</v>
      </c>
      <c r="B1533" t="str">
        <f>VLOOKUP(Counties_by_State_Code[[#This Row],[State_Code]],Territory_by_Code[],2)</f>
        <v>Missouri</v>
      </c>
      <c r="C1533" t="s">
        <v>1042</v>
      </c>
      <c r="D1533">
        <v>14421</v>
      </c>
      <c r="E1533">
        <v>754</v>
      </c>
    </row>
    <row r="1534" spans="1:5" x14ac:dyDescent="0.25">
      <c r="A1534" t="s">
        <v>1032</v>
      </c>
      <c r="B1534" t="str">
        <f>VLOOKUP(Counties_by_State_Code[[#This Row],[State_Code]],Territory_by_Code[],2)</f>
        <v>Missouri</v>
      </c>
      <c r="C1534" t="s">
        <v>255</v>
      </c>
      <c r="D1534">
        <v>11578</v>
      </c>
      <c r="E1534">
        <v>815</v>
      </c>
    </row>
    <row r="1535" spans="1:5" x14ac:dyDescent="0.25">
      <c r="A1535" t="s">
        <v>1032</v>
      </c>
      <c r="B1535" t="str">
        <f>VLOOKUP(Counties_by_State_Code[[#This Row],[State_Code]],Territory_by_Code[],2)</f>
        <v>Missouri</v>
      </c>
      <c r="C1535" t="s">
        <v>1043</v>
      </c>
      <c r="D1535">
        <v>28283</v>
      </c>
      <c r="E1535">
        <v>546</v>
      </c>
    </row>
    <row r="1536" spans="1:5" x14ac:dyDescent="0.25">
      <c r="A1536" t="s">
        <v>1032</v>
      </c>
      <c r="B1536" t="str">
        <f>VLOOKUP(Counties_by_State_Code[[#This Row],[State_Code]],Territory_by_Code[],2)</f>
        <v>Missouri</v>
      </c>
      <c r="C1536" t="s">
        <v>30</v>
      </c>
      <c r="D1536">
        <v>104682</v>
      </c>
      <c r="E1536">
        <v>922</v>
      </c>
    </row>
    <row r="1537" spans="1:5" x14ac:dyDescent="0.25">
      <c r="A1537" t="s">
        <v>1032</v>
      </c>
      <c r="B1537" t="str">
        <f>VLOOKUP(Counties_by_State_Code[[#This Row],[State_Code]],Territory_by_Code[],2)</f>
        <v>Missouri</v>
      </c>
      <c r="C1537" t="s">
        <v>1044</v>
      </c>
      <c r="D1537">
        <v>14794</v>
      </c>
      <c r="E1537">
        <v>520</v>
      </c>
    </row>
    <row r="1538" spans="1:5" x14ac:dyDescent="0.25">
      <c r="A1538" t="s">
        <v>1032</v>
      </c>
      <c r="B1538" t="str">
        <f>VLOOKUP(Counties_by_State_Code[[#This Row],[State_Code]],Territory_by_Code[],2)</f>
        <v>Missouri</v>
      </c>
      <c r="C1538" t="s">
        <v>1045</v>
      </c>
      <c r="D1538">
        <v>6162</v>
      </c>
      <c r="E1538">
        <v>492</v>
      </c>
    </row>
    <row r="1539" spans="1:5" x14ac:dyDescent="0.25">
      <c r="A1539" t="s">
        <v>1032</v>
      </c>
      <c r="B1539" t="str">
        <f>VLOOKUP(Counties_by_State_Code[[#This Row],[State_Code]],Territory_by_Code[],2)</f>
        <v>Missouri</v>
      </c>
      <c r="C1539" t="s">
        <v>32</v>
      </c>
      <c r="D1539">
        <v>298915</v>
      </c>
      <c r="E1539">
        <v>675</v>
      </c>
    </row>
    <row r="1540" spans="1:5" x14ac:dyDescent="0.25">
      <c r="A1540" t="s">
        <v>1032</v>
      </c>
      <c r="B1540" t="str">
        <f>VLOOKUP(Counties_by_State_Code[[#This Row],[State_Code]],Territory_by_Code[],2)</f>
        <v>Missouri</v>
      </c>
      <c r="C1540" t="s">
        <v>534</v>
      </c>
      <c r="D1540">
        <v>9808</v>
      </c>
      <c r="E1540">
        <v>436</v>
      </c>
    </row>
    <row r="1541" spans="1:5" x14ac:dyDescent="0.25">
      <c r="A1541" t="s">
        <v>1032</v>
      </c>
      <c r="B1541" t="str">
        <f>VLOOKUP(Counties_by_State_Code[[#This Row],[State_Code]],Territory_by_Code[],2)</f>
        <v>Missouri</v>
      </c>
      <c r="C1541" t="s">
        <v>583</v>
      </c>
      <c r="D1541">
        <v>8157</v>
      </c>
      <c r="E1541">
        <v>725</v>
      </c>
    </row>
    <row r="1542" spans="1:5" x14ac:dyDescent="0.25">
      <c r="A1542" t="s">
        <v>1032</v>
      </c>
      <c r="B1542" t="str">
        <f>VLOOKUP(Counties_by_State_Code[[#This Row],[State_Code]],Territory_by_Code[],2)</f>
        <v>Missouri</v>
      </c>
      <c r="C1542" t="s">
        <v>34</v>
      </c>
      <c r="D1542">
        <v>21946</v>
      </c>
      <c r="E1542">
        <v>702</v>
      </c>
    </row>
    <row r="1543" spans="1:5" x14ac:dyDescent="0.25">
      <c r="A1543" t="s">
        <v>1032</v>
      </c>
      <c r="B1543" t="str">
        <f>VLOOKUP(Counties_by_State_Code[[#This Row],[State_Code]],Territory_by_Code[],2)</f>
        <v>Missouri</v>
      </c>
      <c r="C1543" t="s">
        <v>1046</v>
      </c>
      <c r="D1543">
        <v>8279</v>
      </c>
      <c r="E1543">
        <v>399</v>
      </c>
    </row>
    <row r="1544" spans="1:5" x14ac:dyDescent="0.25">
      <c r="A1544" t="s">
        <v>1032</v>
      </c>
      <c r="B1544" t="str">
        <f>VLOOKUP(Counties_by_State_Code[[#This Row],[State_Code]],Territory_by_Code[],2)</f>
        <v>Missouri</v>
      </c>
      <c r="C1544" t="s">
        <v>1047</v>
      </c>
      <c r="D1544">
        <v>4223</v>
      </c>
      <c r="E1544">
        <v>462</v>
      </c>
    </row>
    <row r="1545" spans="1:5" x14ac:dyDescent="0.25">
      <c r="A1545" t="s">
        <v>1032</v>
      </c>
      <c r="B1545" t="str">
        <f>VLOOKUP(Counties_by_State_Code[[#This Row],[State_Code]],Territory_by_Code[],2)</f>
        <v>Missouri</v>
      </c>
      <c r="C1545" t="s">
        <v>146</v>
      </c>
      <c r="D1545">
        <v>10151</v>
      </c>
      <c r="E1545">
        <v>466</v>
      </c>
    </row>
    <row r="1546" spans="1:5" x14ac:dyDescent="0.25">
      <c r="A1546" t="s">
        <v>1032</v>
      </c>
      <c r="B1546" t="str">
        <f>VLOOKUP(Counties_by_State_Code[[#This Row],[State_Code]],Territory_by_Code[],2)</f>
        <v>Missouri</v>
      </c>
      <c r="C1546" t="s">
        <v>1048</v>
      </c>
      <c r="D1546">
        <v>39750</v>
      </c>
      <c r="E1546">
        <v>928</v>
      </c>
    </row>
    <row r="1547" spans="1:5" x14ac:dyDescent="0.25">
      <c r="A1547" t="s">
        <v>1032</v>
      </c>
      <c r="B1547" t="str">
        <f>VLOOKUP(Counties_by_State_Code[[#This Row],[State_Code]],Territory_by_Code[],2)</f>
        <v>Missouri</v>
      </c>
      <c r="C1547" t="s">
        <v>899</v>
      </c>
      <c r="D1547">
        <v>9537</v>
      </c>
      <c r="E1547">
        <v>551</v>
      </c>
    </row>
    <row r="1548" spans="1:5" x14ac:dyDescent="0.25">
      <c r="A1548" t="s">
        <v>1032</v>
      </c>
      <c r="B1548" t="str">
        <f>VLOOKUP(Counties_by_State_Code[[#This Row],[State_Code]],Territory_by_Code[],2)</f>
        <v>Missouri</v>
      </c>
      <c r="C1548" t="s">
        <v>36</v>
      </c>
      <c r="D1548">
        <v>717204</v>
      </c>
      <c r="E1548">
        <v>605</v>
      </c>
    </row>
    <row r="1549" spans="1:5" x14ac:dyDescent="0.25">
      <c r="A1549" t="s">
        <v>1032</v>
      </c>
      <c r="B1549" t="str">
        <f>VLOOKUP(Counties_by_State_Code[[#This Row],[State_Code]],Territory_by_Code[],2)</f>
        <v>Missouri</v>
      </c>
      <c r="C1549" t="s">
        <v>424</v>
      </c>
      <c r="D1549">
        <v>122761</v>
      </c>
      <c r="E1549">
        <v>640</v>
      </c>
    </row>
    <row r="1550" spans="1:5" x14ac:dyDescent="0.25">
      <c r="A1550" t="s">
        <v>1032</v>
      </c>
      <c r="B1550" t="str">
        <f>VLOOKUP(Counties_by_State_Code[[#This Row],[State_Code]],Territory_by_Code[],2)</f>
        <v>Missouri</v>
      </c>
      <c r="C1550" t="s">
        <v>37</v>
      </c>
      <c r="D1550">
        <v>226739</v>
      </c>
      <c r="E1550">
        <v>657</v>
      </c>
    </row>
    <row r="1551" spans="1:5" x14ac:dyDescent="0.25">
      <c r="A1551" t="s">
        <v>1032</v>
      </c>
      <c r="B1551" t="str">
        <f>VLOOKUP(Counties_by_State_Code[[#This Row],[State_Code]],Territory_by_Code[],2)</f>
        <v>Missouri</v>
      </c>
      <c r="C1551" t="s">
        <v>149</v>
      </c>
      <c r="D1551">
        <v>54013</v>
      </c>
      <c r="E1551">
        <v>831</v>
      </c>
    </row>
    <row r="1552" spans="1:5" x14ac:dyDescent="0.25">
      <c r="A1552" t="s">
        <v>1032</v>
      </c>
      <c r="B1552" t="str">
        <f>VLOOKUP(Counties_by_State_Code[[#This Row],[State_Code]],Territory_by_Code[],2)</f>
        <v>Missouri</v>
      </c>
      <c r="C1552" t="s">
        <v>543</v>
      </c>
      <c r="D1552">
        <v>3744</v>
      </c>
      <c r="E1552">
        <v>506</v>
      </c>
    </row>
    <row r="1553" spans="1:5" x14ac:dyDescent="0.25">
      <c r="A1553" t="s">
        <v>1032</v>
      </c>
      <c r="B1553" t="str">
        <f>VLOOKUP(Counties_by_State_Code[[#This Row],[State_Code]],Territory_by_Code[],2)</f>
        <v>Missouri</v>
      </c>
      <c r="C1553" t="s">
        <v>1049</v>
      </c>
      <c r="D1553">
        <v>36039</v>
      </c>
      <c r="E1553">
        <v>766</v>
      </c>
    </row>
    <row r="1554" spans="1:5" x14ac:dyDescent="0.25">
      <c r="A1554" t="s">
        <v>1032</v>
      </c>
      <c r="B1554" t="str">
        <f>VLOOKUP(Counties_by_State_Code[[#This Row],[State_Code]],Territory_by_Code[],2)</f>
        <v>Missouri</v>
      </c>
      <c r="C1554" t="s">
        <v>150</v>
      </c>
      <c r="D1554">
        <v>32984</v>
      </c>
      <c r="E1554">
        <v>629</v>
      </c>
    </row>
    <row r="1555" spans="1:5" x14ac:dyDescent="0.25">
      <c r="A1555" t="s">
        <v>1032</v>
      </c>
      <c r="B1555" t="str">
        <f>VLOOKUP(Counties_by_State_Code[[#This Row],[State_Code]],Territory_by_Code[],2)</f>
        <v>Missouri</v>
      </c>
      <c r="C1555" t="s">
        <v>40</v>
      </c>
      <c r="D1555">
        <v>38001</v>
      </c>
      <c r="E1555">
        <v>613</v>
      </c>
    </row>
    <row r="1556" spans="1:5" x14ac:dyDescent="0.25">
      <c r="A1556" t="s">
        <v>1032</v>
      </c>
      <c r="B1556" t="str">
        <f>VLOOKUP(Counties_by_State_Code[[#This Row],[State_Code]],Territory_by_Code[],2)</f>
        <v>Missouri</v>
      </c>
      <c r="C1556" t="s">
        <v>506</v>
      </c>
      <c r="D1556">
        <v>10032</v>
      </c>
      <c r="E1556">
        <v>505</v>
      </c>
    </row>
    <row r="1557" spans="1:5" x14ac:dyDescent="0.25">
      <c r="A1557" t="s">
        <v>1032</v>
      </c>
      <c r="B1557" t="str">
        <f>VLOOKUP(Counties_by_State_Code[[#This Row],[State_Code]],Territory_by_Code[],2)</f>
        <v>Missouri</v>
      </c>
      <c r="C1557" t="s">
        <v>151</v>
      </c>
      <c r="D1557">
        <v>59574</v>
      </c>
      <c r="E1557">
        <v>630</v>
      </c>
    </row>
    <row r="1558" spans="1:5" x14ac:dyDescent="0.25">
      <c r="A1558" t="s">
        <v>1032</v>
      </c>
      <c r="B1558" t="str">
        <f>VLOOKUP(Counties_by_State_Code[[#This Row],[State_Code]],Territory_by_Code[],2)</f>
        <v>Missouri</v>
      </c>
      <c r="C1558" t="s">
        <v>636</v>
      </c>
      <c r="D1558">
        <v>11874</v>
      </c>
      <c r="E1558">
        <v>620</v>
      </c>
    </row>
    <row r="1559" spans="1:5" x14ac:dyDescent="0.25">
      <c r="A1559" t="s">
        <v>1032</v>
      </c>
      <c r="B1559" t="str">
        <f>VLOOKUP(Counties_by_State_Code[[#This Row],[State_Code]],Territory_by_Code[],2)</f>
        <v>Missouri</v>
      </c>
      <c r="C1559" t="s">
        <v>545</v>
      </c>
      <c r="D1559">
        <v>14557</v>
      </c>
      <c r="E1559">
        <v>535</v>
      </c>
    </row>
    <row r="1560" spans="1:5" x14ac:dyDescent="0.25">
      <c r="A1560" t="s">
        <v>1032</v>
      </c>
      <c r="B1560" t="str">
        <f>VLOOKUP(Counties_by_State_Code[[#This Row],[State_Code]],Territory_by_Code[],2)</f>
        <v>Missouri</v>
      </c>
      <c r="C1560" t="s">
        <v>44</v>
      </c>
      <c r="D1560">
        <v>15209</v>
      </c>
      <c r="E1560">
        <v>497</v>
      </c>
    </row>
    <row r="1561" spans="1:5" x14ac:dyDescent="0.25">
      <c r="A1561" t="s">
        <v>1032</v>
      </c>
      <c r="B1561" t="str">
        <f>VLOOKUP(Counties_by_State_Code[[#This Row],[State_Code]],Territory_by_Code[],2)</f>
        <v>Missouri</v>
      </c>
      <c r="C1561" t="s">
        <v>45</v>
      </c>
      <c r="D1561">
        <v>12626</v>
      </c>
      <c r="E1561">
        <v>528</v>
      </c>
    </row>
    <row r="1562" spans="1:5" x14ac:dyDescent="0.25">
      <c r="A1562" t="s">
        <v>1032</v>
      </c>
      <c r="B1562" t="str">
        <f>VLOOKUP(Counties_by_State_Code[[#This Row],[State_Code]],Territory_by_Code[],2)</f>
        <v>Missouri</v>
      </c>
      <c r="C1562" t="s">
        <v>1050</v>
      </c>
      <c r="D1562">
        <v>8432</v>
      </c>
      <c r="E1562">
        <v>438</v>
      </c>
    </row>
    <row r="1563" spans="1:5" x14ac:dyDescent="0.25">
      <c r="A1563" t="s">
        <v>1032</v>
      </c>
      <c r="B1563" t="str">
        <f>VLOOKUP(Counties_by_State_Code[[#This Row],[State_Code]],Territory_by_Code[],2)</f>
        <v>Missouri</v>
      </c>
      <c r="C1563" t="s">
        <v>47</v>
      </c>
      <c r="D1563">
        <v>28525</v>
      </c>
      <c r="E1563">
        <v>540</v>
      </c>
    </row>
    <row r="1564" spans="1:5" x14ac:dyDescent="0.25">
      <c r="A1564" t="s">
        <v>1032</v>
      </c>
      <c r="B1564" t="str">
        <f>VLOOKUP(Counties_by_State_Code[[#This Row],[State_Code]],Territory_by_Code[],2)</f>
        <v>Missouri</v>
      </c>
      <c r="C1564" t="s">
        <v>1051</v>
      </c>
      <c r="D1564">
        <v>23303</v>
      </c>
      <c r="E1564">
        <v>804</v>
      </c>
    </row>
    <row r="1565" spans="1:5" x14ac:dyDescent="0.25">
      <c r="A1565" t="s">
        <v>1032</v>
      </c>
      <c r="B1565" t="str">
        <f>VLOOKUP(Counties_by_State_Code[[#This Row],[State_Code]],Territory_by_Code[],2)</f>
        <v>Missouri</v>
      </c>
      <c r="C1565" t="s">
        <v>553</v>
      </c>
      <c r="D1565">
        <v>3538</v>
      </c>
      <c r="E1565">
        <v>454</v>
      </c>
    </row>
    <row r="1566" spans="1:5" x14ac:dyDescent="0.25">
      <c r="A1566" t="s">
        <v>1032</v>
      </c>
      <c r="B1566" t="str">
        <f>VLOOKUP(Counties_by_State_Code[[#This Row],[State_Code]],Territory_by_Code[],2)</f>
        <v>Missouri</v>
      </c>
      <c r="C1566" t="s">
        <v>155</v>
      </c>
      <c r="D1566">
        <v>24722</v>
      </c>
      <c r="E1566">
        <v>592</v>
      </c>
    </row>
    <row r="1567" spans="1:5" x14ac:dyDescent="0.25">
      <c r="A1567" t="s">
        <v>1032</v>
      </c>
      <c r="B1567" t="str">
        <f>VLOOKUP(Counties_by_State_Code[[#This Row],[State_Code]],Territory_by_Code[],2)</f>
        <v>Missouri</v>
      </c>
      <c r="C1567" t="s">
        <v>156</v>
      </c>
      <c r="D1567">
        <v>12577</v>
      </c>
      <c r="E1567">
        <v>413</v>
      </c>
    </row>
    <row r="1568" spans="1:5" x14ac:dyDescent="0.25">
      <c r="A1568" t="s">
        <v>1032</v>
      </c>
      <c r="B1568" t="str">
        <f>VLOOKUP(Counties_by_State_Code[[#This Row],[State_Code]],Territory_by_Code[],2)</f>
        <v>Missouri</v>
      </c>
      <c r="C1568" t="s">
        <v>1052</v>
      </c>
      <c r="D1568">
        <v>15473</v>
      </c>
      <c r="E1568">
        <v>417</v>
      </c>
    </row>
    <row r="1569" spans="1:5" x14ac:dyDescent="0.25">
      <c r="A1569" t="s">
        <v>1032</v>
      </c>
      <c r="B1569" t="str">
        <f>VLOOKUP(Counties_by_State_Code[[#This Row],[State_Code]],Territory_by_Code[],2)</f>
        <v>Missouri</v>
      </c>
      <c r="C1569" t="s">
        <v>50</v>
      </c>
      <c r="D1569">
        <v>8666</v>
      </c>
      <c r="E1569">
        <v>646</v>
      </c>
    </row>
    <row r="1570" spans="1:5" x14ac:dyDescent="0.25">
      <c r="A1570" t="s">
        <v>1032</v>
      </c>
      <c r="B1570" t="str">
        <f>VLOOKUP(Counties_by_State_Code[[#This Row],[State_Code]],Territory_by_Code[],2)</f>
        <v>Missouri</v>
      </c>
      <c r="C1570" t="s">
        <v>51</v>
      </c>
      <c r="D1570">
        <v>11322</v>
      </c>
      <c r="E1570">
        <v>539</v>
      </c>
    </row>
    <row r="1571" spans="1:5" x14ac:dyDescent="0.25">
      <c r="A1571" t="s">
        <v>1032</v>
      </c>
      <c r="B1571" t="str">
        <f>VLOOKUP(Counties_by_State_Code[[#This Row],[State_Code]],Territory_by_Code[],2)</f>
        <v>Missouri</v>
      </c>
      <c r="C1571" t="s">
        <v>52</v>
      </c>
      <c r="D1571">
        <v>21006</v>
      </c>
      <c r="E1571">
        <v>598</v>
      </c>
    </row>
    <row r="1572" spans="1:5" x14ac:dyDescent="0.25">
      <c r="A1572" t="s">
        <v>1032</v>
      </c>
      <c r="B1572" t="str">
        <f>VLOOKUP(Counties_by_State_Code[[#This Row],[State_Code]],Territory_by_Code[],2)</f>
        <v>Missouri</v>
      </c>
      <c r="C1572" t="s">
        <v>1053</v>
      </c>
      <c r="D1572">
        <v>16434</v>
      </c>
      <c r="E1572">
        <v>678</v>
      </c>
    </row>
    <row r="1573" spans="1:5" x14ac:dyDescent="0.25">
      <c r="A1573" t="s">
        <v>1032</v>
      </c>
      <c r="B1573" t="str">
        <f>VLOOKUP(Counties_by_State_Code[[#This Row],[State_Code]],Territory_by_Code[],2)</f>
        <v>Missouri</v>
      </c>
      <c r="C1573" t="s">
        <v>158</v>
      </c>
      <c r="D1573">
        <v>58648</v>
      </c>
      <c r="E1573">
        <v>626</v>
      </c>
    </row>
    <row r="1574" spans="1:5" x14ac:dyDescent="0.25">
      <c r="A1574" t="s">
        <v>1032</v>
      </c>
      <c r="B1574" t="str">
        <f>VLOOKUP(Counties_by_State_Code[[#This Row],[State_Code]],Territory_by_Code[],2)</f>
        <v>Missouri</v>
      </c>
      <c r="C1574" t="s">
        <v>1054</v>
      </c>
      <c r="D1574">
        <v>21241</v>
      </c>
      <c r="E1574">
        <v>877</v>
      </c>
    </row>
    <row r="1575" spans="1:5" x14ac:dyDescent="0.25">
      <c r="A1575" t="s">
        <v>1032</v>
      </c>
      <c r="B1575" t="str">
        <f>VLOOKUP(Counties_by_State_Code[[#This Row],[State_Code]],Territory_by_Code[],2)</f>
        <v>Missouri</v>
      </c>
      <c r="C1575" t="s">
        <v>1055</v>
      </c>
      <c r="D1575">
        <v>8635</v>
      </c>
      <c r="E1575">
        <v>792</v>
      </c>
    </row>
    <row r="1576" spans="1:5" x14ac:dyDescent="0.25">
      <c r="A1576" t="s">
        <v>1032</v>
      </c>
      <c r="B1576" t="str">
        <f>VLOOKUP(Counties_by_State_Code[[#This Row],[State_Code]],Territory_by_Code[],2)</f>
        <v>Missouri</v>
      </c>
      <c r="C1576" t="s">
        <v>700</v>
      </c>
      <c r="D1576">
        <v>13274</v>
      </c>
      <c r="E1576">
        <v>606</v>
      </c>
    </row>
    <row r="1577" spans="1:5" x14ac:dyDescent="0.25">
      <c r="A1577" t="s">
        <v>1032</v>
      </c>
      <c r="B1577" t="str">
        <f>VLOOKUP(Counties_by_State_Code[[#This Row],[State_Code]],Territory_by_Code[],2)</f>
        <v>Missouri</v>
      </c>
      <c r="C1577" t="s">
        <v>1056</v>
      </c>
      <c r="D1577">
        <v>8553</v>
      </c>
      <c r="E1577">
        <v>747</v>
      </c>
    </row>
    <row r="1578" spans="1:5" x14ac:dyDescent="0.25">
      <c r="A1578" t="s">
        <v>1032</v>
      </c>
      <c r="B1578" t="str">
        <f>VLOOKUP(Counties_by_State_Code[[#This Row],[State_Code]],Territory_by_Code[],2)</f>
        <v>Missouri</v>
      </c>
      <c r="C1578" t="s">
        <v>1057</v>
      </c>
      <c r="D1578">
        <v>15661</v>
      </c>
      <c r="E1578">
        <v>493</v>
      </c>
    </row>
    <row r="1579" spans="1:5" x14ac:dyDescent="0.25">
      <c r="A1579" t="s">
        <v>1032</v>
      </c>
      <c r="B1579" t="str">
        <f>VLOOKUP(Counties_by_State_Code[[#This Row],[State_Code]],Territory_by_Code[],2)</f>
        <v>Missouri</v>
      </c>
      <c r="C1579" t="s">
        <v>53</v>
      </c>
      <c r="D1579">
        <v>18956</v>
      </c>
      <c r="E1579">
        <v>475</v>
      </c>
    </row>
    <row r="1580" spans="1:5" x14ac:dyDescent="0.25">
      <c r="A1580" t="s">
        <v>1032</v>
      </c>
      <c r="B1580" t="str">
        <f>VLOOKUP(Counties_by_State_Code[[#This Row],[State_Code]],Territory_by_Code[],2)</f>
        <v>Missouri</v>
      </c>
      <c r="C1580" t="s">
        <v>1058</v>
      </c>
      <c r="D1580">
        <v>42980</v>
      </c>
      <c r="E1580">
        <v>685</v>
      </c>
    </row>
    <row r="1581" spans="1:5" x14ac:dyDescent="0.25">
      <c r="A1581" t="s">
        <v>1032</v>
      </c>
      <c r="B1581" t="str">
        <f>VLOOKUP(Counties_by_State_Code[[#This Row],[State_Code]],Territory_by_Code[],2)</f>
        <v>Missouri</v>
      </c>
      <c r="C1581" t="s">
        <v>1059</v>
      </c>
      <c r="D1581">
        <v>44638</v>
      </c>
      <c r="E1581">
        <v>673</v>
      </c>
    </row>
    <row r="1582" spans="1:5" x14ac:dyDescent="0.25">
      <c r="A1582" t="s">
        <v>1032</v>
      </c>
      <c r="B1582" t="str">
        <f>VLOOKUP(Counties_by_State_Code[[#This Row],[State_Code]],Territory_by_Code[],2)</f>
        <v>Missouri</v>
      </c>
      <c r="C1582" t="s">
        <v>55</v>
      </c>
      <c r="D1582">
        <v>17587</v>
      </c>
      <c r="E1582">
        <v>673</v>
      </c>
    </row>
    <row r="1583" spans="1:5" x14ac:dyDescent="0.25">
      <c r="A1583" t="s">
        <v>1032</v>
      </c>
      <c r="B1583" t="str">
        <f>VLOOKUP(Counties_by_State_Code[[#This Row],[State_Code]],Territory_by_Code[],2)</f>
        <v>Missouri</v>
      </c>
      <c r="C1583" t="s">
        <v>1060</v>
      </c>
      <c r="D1583">
        <v>106718</v>
      </c>
      <c r="E1583">
        <v>420</v>
      </c>
    </row>
    <row r="1584" spans="1:5" x14ac:dyDescent="0.25">
      <c r="A1584" t="s">
        <v>1032</v>
      </c>
      <c r="B1584" t="str">
        <f>VLOOKUP(Counties_by_State_Code[[#This Row],[State_Code]],Territory_by_Code[],2)</f>
        <v>Missouri</v>
      </c>
      <c r="C1584" t="s">
        <v>162</v>
      </c>
      <c r="D1584">
        <v>31519</v>
      </c>
      <c r="E1584">
        <v>637</v>
      </c>
    </row>
    <row r="1585" spans="1:5" x14ac:dyDescent="0.25">
      <c r="A1585" t="s">
        <v>1032</v>
      </c>
      <c r="B1585" t="str">
        <f>VLOOKUP(Counties_by_State_Code[[#This Row],[State_Code]],Territory_by_Code[],2)</f>
        <v>Missouri</v>
      </c>
      <c r="C1585" t="s">
        <v>165</v>
      </c>
      <c r="D1585">
        <v>53955</v>
      </c>
      <c r="E1585">
        <v>547</v>
      </c>
    </row>
    <row r="1586" spans="1:5" x14ac:dyDescent="0.25">
      <c r="A1586" t="s">
        <v>1032</v>
      </c>
      <c r="B1586" t="str">
        <f>VLOOKUP(Counties_by_State_Code[[#This Row],[State_Code]],Territory_by_Code[],2)</f>
        <v>Missouri</v>
      </c>
      <c r="C1586" t="s">
        <v>355</v>
      </c>
      <c r="D1586">
        <v>4681</v>
      </c>
      <c r="E1586">
        <v>518</v>
      </c>
    </row>
    <row r="1587" spans="1:5" x14ac:dyDescent="0.25">
      <c r="A1587" t="s">
        <v>1032</v>
      </c>
      <c r="B1587" t="str">
        <f>VLOOKUP(Counties_by_State_Code[[#This Row],[State_Code]],Territory_by_Code[],2)</f>
        <v>Missouri</v>
      </c>
      <c r="C1587" t="s">
        <v>1061</v>
      </c>
      <c r="D1587">
        <v>10355</v>
      </c>
      <c r="E1587">
        <v>471</v>
      </c>
    </row>
    <row r="1588" spans="1:5" x14ac:dyDescent="0.25">
      <c r="A1588" t="s">
        <v>1032</v>
      </c>
      <c r="B1588" t="str">
        <f>VLOOKUP(Counties_by_State_Code[[#This Row],[State_Code]],Territory_by_Code[],2)</f>
        <v>Missouri</v>
      </c>
      <c r="C1588" t="s">
        <v>56</v>
      </c>
      <c r="D1588">
        <v>24716</v>
      </c>
      <c r="E1588">
        <v>482</v>
      </c>
    </row>
    <row r="1589" spans="1:5" x14ac:dyDescent="0.25">
      <c r="A1589" t="s">
        <v>1032</v>
      </c>
      <c r="B1589" t="str">
        <f>VLOOKUP(Counties_by_State_Code[[#This Row],[State_Code]],Territory_by_Code[],2)</f>
        <v>Missouri</v>
      </c>
      <c r="C1589" t="s">
        <v>1062</v>
      </c>
      <c r="D1589">
        <v>23158</v>
      </c>
      <c r="E1589">
        <v>570</v>
      </c>
    </row>
    <row r="1590" spans="1:5" x14ac:dyDescent="0.25">
      <c r="A1590" t="s">
        <v>1032</v>
      </c>
      <c r="B1590" t="str">
        <f>VLOOKUP(Counties_by_State_Code[[#This Row],[State_Code]],Territory_by_Code[],2)</f>
        <v>Missouri</v>
      </c>
      <c r="C1590" t="s">
        <v>1063</v>
      </c>
      <c r="D1590">
        <v>6096</v>
      </c>
      <c r="E1590">
        <v>811</v>
      </c>
    </row>
    <row r="1591" spans="1:5" x14ac:dyDescent="0.25">
      <c r="A1591" t="s">
        <v>1032</v>
      </c>
      <c r="B1591" t="str">
        <f>VLOOKUP(Counties_by_State_Code[[#This Row],[State_Code]],Territory_by_Code[],2)</f>
        <v>Missouri</v>
      </c>
      <c r="C1591" t="s">
        <v>598</v>
      </c>
      <c r="D1591">
        <v>10679</v>
      </c>
      <c r="E1591">
        <v>630</v>
      </c>
    </row>
    <row r="1592" spans="1:5" x14ac:dyDescent="0.25">
      <c r="A1592" t="s">
        <v>1032</v>
      </c>
      <c r="B1592" t="str">
        <f>VLOOKUP(Counties_by_State_Code[[#This Row],[State_Code]],Territory_by_Code[],2)</f>
        <v>Missouri</v>
      </c>
      <c r="C1592" t="s">
        <v>816</v>
      </c>
      <c r="D1592">
        <v>405262</v>
      </c>
      <c r="E1592">
        <v>593</v>
      </c>
    </row>
    <row r="1593" spans="1:5" x14ac:dyDescent="0.25">
      <c r="A1593" t="s">
        <v>1032</v>
      </c>
      <c r="B1593" t="str">
        <f>VLOOKUP(Counties_by_State_Code[[#This Row],[State_Code]],Territory_by_Code[],2)</f>
        <v>Missouri</v>
      </c>
      <c r="C1593" t="s">
        <v>59</v>
      </c>
      <c r="D1593">
        <v>9284</v>
      </c>
      <c r="E1593">
        <v>677</v>
      </c>
    </row>
    <row r="1594" spans="1:5" x14ac:dyDescent="0.25">
      <c r="A1594" t="s">
        <v>1032</v>
      </c>
      <c r="B1594" t="str">
        <f>VLOOKUP(Counties_by_State_Code[[#This Row],[State_Code]],Territory_by_Code[],2)</f>
        <v>Missouri</v>
      </c>
      <c r="C1594" t="s">
        <v>1064</v>
      </c>
      <c r="D1594">
        <v>66922</v>
      </c>
      <c r="E1594">
        <v>508</v>
      </c>
    </row>
    <row r="1595" spans="1:5" x14ac:dyDescent="0.25">
      <c r="A1595" t="s">
        <v>1032</v>
      </c>
      <c r="B1595" t="str">
        <f>VLOOKUP(Counties_by_State_Code[[#This Row],[State_Code]],Territory_by_Code[],2)</f>
        <v>Missouri</v>
      </c>
      <c r="C1595" t="s">
        <v>983</v>
      </c>
      <c r="D1595">
        <v>1004125</v>
      </c>
      <c r="E1595">
        <v>508</v>
      </c>
    </row>
    <row r="1596" spans="1:5" x14ac:dyDescent="0.25">
      <c r="A1596" t="s">
        <v>1032</v>
      </c>
      <c r="B1596" t="str">
        <f>VLOOKUP(Counties_by_State_Code[[#This Row],[State_Code]],Territory_by_Code[],2)</f>
        <v>Missouri</v>
      </c>
      <c r="C1596" t="s">
        <v>1065</v>
      </c>
      <c r="D1596">
        <v>18479</v>
      </c>
      <c r="E1596">
        <v>502</v>
      </c>
    </row>
    <row r="1597" spans="1:5" x14ac:dyDescent="0.25">
      <c r="A1597" t="s">
        <v>1032</v>
      </c>
      <c r="B1597" t="str">
        <f>VLOOKUP(Counties_by_State_Code[[#This Row],[State_Code]],Territory_by_Code[],2)</f>
        <v>Missouri</v>
      </c>
      <c r="C1597" t="s">
        <v>167</v>
      </c>
      <c r="D1597">
        <v>23333</v>
      </c>
      <c r="E1597">
        <v>756</v>
      </c>
    </row>
    <row r="1598" spans="1:5" x14ac:dyDescent="0.25">
      <c r="A1598" t="s">
        <v>1032</v>
      </c>
      <c r="B1598" t="str">
        <f>VLOOKUP(Counties_by_State_Code[[#This Row],[State_Code]],Territory_by_Code[],2)</f>
        <v>Missouri</v>
      </c>
      <c r="C1598" t="s">
        <v>561</v>
      </c>
      <c r="D1598">
        <v>4032</v>
      </c>
      <c r="E1598">
        <v>308</v>
      </c>
    </row>
    <row r="1599" spans="1:5" x14ac:dyDescent="0.25">
      <c r="A1599" t="s">
        <v>1032</v>
      </c>
      <c r="B1599" t="str">
        <f>VLOOKUP(Counties_by_State_Code[[#This Row],[State_Code]],Territory_by_Code[],2)</f>
        <v>Missouri</v>
      </c>
      <c r="C1599" t="s">
        <v>1066</v>
      </c>
      <c r="D1599">
        <v>4716</v>
      </c>
      <c r="E1599">
        <v>438</v>
      </c>
    </row>
    <row r="1600" spans="1:5" x14ac:dyDescent="0.25">
      <c r="A1600" t="s">
        <v>1032</v>
      </c>
      <c r="B1600" t="str">
        <f>VLOOKUP(Counties_by_State_Code[[#This Row],[State_Code]],Territory_by_Code[],2)</f>
        <v>Missouri</v>
      </c>
      <c r="C1600" t="s">
        <v>168</v>
      </c>
      <c r="D1600">
        <v>38059</v>
      </c>
      <c r="E1600">
        <v>421</v>
      </c>
    </row>
    <row r="1601" spans="1:5" x14ac:dyDescent="0.25">
      <c r="A1601" t="s">
        <v>1032</v>
      </c>
      <c r="B1601" t="str">
        <f>VLOOKUP(Counties_by_State_Code[[#This Row],[State_Code]],Territory_by_Code[],2)</f>
        <v>Missouri</v>
      </c>
      <c r="C1601" t="s">
        <v>1067</v>
      </c>
      <c r="D1601">
        <v>7031</v>
      </c>
      <c r="E1601">
        <v>1004</v>
      </c>
    </row>
    <row r="1602" spans="1:5" x14ac:dyDescent="0.25">
      <c r="A1602" t="s">
        <v>1032</v>
      </c>
      <c r="B1602" t="str">
        <f>VLOOKUP(Counties_by_State_Code[[#This Row],[State_Code]],Territory_by_Code[],2)</f>
        <v>Missouri</v>
      </c>
      <c r="C1602" t="s">
        <v>58</v>
      </c>
      <c r="D1602">
        <v>6103</v>
      </c>
      <c r="E1602">
        <v>501</v>
      </c>
    </row>
    <row r="1603" spans="1:5" x14ac:dyDescent="0.25">
      <c r="A1603" t="s">
        <v>1032</v>
      </c>
      <c r="B1603" t="str">
        <f>VLOOKUP(Counties_by_State_Code[[#This Row],[State_Code]],Territory_by_Code[],2)</f>
        <v>Missouri</v>
      </c>
      <c r="C1603" t="s">
        <v>1068</v>
      </c>
      <c r="D1603">
        <v>28672</v>
      </c>
      <c r="E1603">
        <v>827</v>
      </c>
    </row>
    <row r="1604" spans="1:5" x14ac:dyDescent="0.25">
      <c r="A1604" t="s">
        <v>1032</v>
      </c>
      <c r="B1604" t="str">
        <f>VLOOKUP(Counties_by_State_Code[[#This Row],[State_Code]],Territory_by_Code[],2)</f>
        <v>Missouri</v>
      </c>
      <c r="C1604" t="s">
        <v>173</v>
      </c>
      <c r="D1604">
        <v>31076</v>
      </c>
      <c r="E1604">
        <v>463</v>
      </c>
    </row>
    <row r="1605" spans="1:5" x14ac:dyDescent="0.25">
      <c r="A1605" t="s">
        <v>1032</v>
      </c>
      <c r="B1605" t="str">
        <f>VLOOKUP(Counties_by_State_Code[[#This Row],[State_Code]],Territory_by_Code[],2)</f>
        <v>Missouri</v>
      </c>
      <c r="C1605" t="s">
        <v>604</v>
      </c>
      <c r="D1605">
        <v>5999</v>
      </c>
      <c r="E1605">
        <v>651</v>
      </c>
    </row>
    <row r="1606" spans="1:5" x14ac:dyDescent="0.25">
      <c r="A1606" t="s">
        <v>1032</v>
      </c>
      <c r="B1606" t="str">
        <f>VLOOKUP(Counties_by_State_Code[[#This Row],[State_Code]],Territory_by_Code[],2)</f>
        <v>Missouri</v>
      </c>
      <c r="C1606" t="s">
        <v>1069</v>
      </c>
      <c r="D1606">
        <v>56066</v>
      </c>
      <c r="E1606">
        <v>632</v>
      </c>
    </row>
    <row r="1607" spans="1:5" x14ac:dyDescent="0.25">
      <c r="A1607" t="s">
        <v>1032</v>
      </c>
      <c r="B1607" t="str">
        <f>VLOOKUP(Counties_by_State_Code[[#This Row],[State_Code]],Territory_by_Code[],2)</f>
        <v>Missouri</v>
      </c>
      <c r="C1607" t="s">
        <v>1070</v>
      </c>
      <c r="D1607">
        <v>24487</v>
      </c>
      <c r="E1607">
        <v>1179</v>
      </c>
    </row>
    <row r="1608" spans="1:5" x14ac:dyDescent="0.25">
      <c r="A1608" t="s">
        <v>1032</v>
      </c>
      <c r="B1608" t="str">
        <f>VLOOKUP(Counties_by_State_Code[[#This Row],[State_Code]],Territory_by_Code[],2)</f>
        <v>Missouri</v>
      </c>
      <c r="C1608" t="s">
        <v>827</v>
      </c>
      <c r="D1608">
        <v>19707</v>
      </c>
      <c r="E1608">
        <v>834</v>
      </c>
    </row>
    <row r="1609" spans="1:5" x14ac:dyDescent="0.25">
      <c r="A1609" t="s">
        <v>1032</v>
      </c>
      <c r="B1609" t="str">
        <f>VLOOKUP(Counties_by_State_Code[[#This Row],[State_Code]],Territory_by_Code[],2)</f>
        <v>Missouri</v>
      </c>
      <c r="C1609" t="s">
        <v>467</v>
      </c>
      <c r="D1609">
        <v>35532</v>
      </c>
      <c r="E1609">
        <v>432</v>
      </c>
    </row>
    <row r="1610" spans="1:5" x14ac:dyDescent="0.25">
      <c r="A1610" t="s">
        <v>1032</v>
      </c>
      <c r="B1610" t="str">
        <f>VLOOKUP(Counties_by_State_Code[[#This Row],[State_Code]],Territory_by_Code[],2)</f>
        <v>Missouri</v>
      </c>
      <c r="C1610" t="s">
        <v>65</v>
      </c>
      <c r="D1610">
        <v>23514</v>
      </c>
      <c r="E1610">
        <v>760</v>
      </c>
    </row>
    <row r="1611" spans="1:5" x14ac:dyDescent="0.25">
      <c r="A1611" t="s">
        <v>1032</v>
      </c>
      <c r="B1611" t="str">
        <f>VLOOKUP(Counties_by_State_Code[[#This Row],[State_Code]],Territory_by_Code[],2)</f>
        <v>Missouri</v>
      </c>
      <c r="C1611" t="s">
        <v>468</v>
      </c>
      <c r="D1611">
        <v>10974</v>
      </c>
      <c r="E1611">
        <v>761</v>
      </c>
    </row>
    <row r="1612" spans="1:5" x14ac:dyDescent="0.25">
      <c r="A1612" t="s">
        <v>1032</v>
      </c>
      <c r="B1612" t="str">
        <f>VLOOKUP(Counties_by_State_Code[[#This Row],[State_Code]],Territory_by_Code[],2)</f>
        <v>Missouri</v>
      </c>
      <c r="C1612" t="s">
        <v>469</v>
      </c>
      <c r="D1612">
        <v>39085</v>
      </c>
      <c r="E1612">
        <v>593</v>
      </c>
    </row>
    <row r="1613" spans="1:5" x14ac:dyDescent="0.25">
      <c r="A1613" t="s">
        <v>1032</v>
      </c>
      <c r="B1613" t="str">
        <f>VLOOKUP(Counties_by_State_Code[[#This Row],[State_Code]],Territory_by_Code[],2)</f>
        <v>Missouri</v>
      </c>
      <c r="C1613" t="s">
        <v>474</v>
      </c>
      <c r="D1613">
        <v>1973</v>
      </c>
      <c r="E1613">
        <v>266</v>
      </c>
    </row>
    <row r="1614" spans="1:5" x14ac:dyDescent="0.25">
      <c r="A1614" t="s">
        <v>1032</v>
      </c>
      <c r="B1614" t="str">
        <f>VLOOKUP(Counties_by_State_Code[[#This Row],[State_Code]],Territory_by_Code[],2)</f>
        <v>Missouri</v>
      </c>
      <c r="C1614" t="s">
        <v>659</v>
      </c>
      <c r="D1614">
        <v>18188</v>
      </c>
      <c r="E1614">
        <v>682</v>
      </c>
    </row>
    <row r="1615" spans="1:5" x14ac:dyDescent="0.25">
      <c r="A1615" t="s">
        <v>1032</v>
      </c>
      <c r="B1615" t="str">
        <f>VLOOKUP(Counties_by_State_Code[[#This Row],[State_Code]],Territory_by_Code[],2)</f>
        <v>Missouri</v>
      </c>
      <c r="C1615" t="s">
        <v>1071</v>
      </c>
      <c r="D1615">
        <v>301578</v>
      </c>
      <c r="E1615">
        <v>61.9</v>
      </c>
    </row>
    <row r="1616" spans="1:5" x14ac:dyDescent="0.25">
      <c r="A1616" t="s">
        <v>1073</v>
      </c>
      <c r="B1616" t="str">
        <f>VLOOKUP(Counties_by_State_Code[[#This Row],[State_Code]],Territory_by_Code[],2)</f>
        <v>Montana</v>
      </c>
      <c r="C1616" t="s">
        <v>1072</v>
      </c>
      <c r="D1616">
        <v>9371</v>
      </c>
      <c r="E1616">
        <v>5543</v>
      </c>
    </row>
    <row r="1617" spans="1:5" x14ac:dyDescent="0.25">
      <c r="A1617" t="s">
        <v>1073</v>
      </c>
      <c r="B1617" t="str">
        <f>VLOOKUP(Counties_by_State_Code[[#This Row],[State_Code]],Territory_by_Code[],2)</f>
        <v>Montana</v>
      </c>
      <c r="C1617" t="s">
        <v>1074</v>
      </c>
      <c r="D1617">
        <v>13124</v>
      </c>
      <c r="E1617">
        <v>4995</v>
      </c>
    </row>
    <row r="1618" spans="1:5" x14ac:dyDescent="0.25">
      <c r="A1618" t="s">
        <v>1073</v>
      </c>
      <c r="B1618" t="str">
        <f>VLOOKUP(Counties_by_State_Code[[#This Row],[State_Code]],Territory_by_Code[],2)</f>
        <v>Montana</v>
      </c>
      <c r="C1618" t="s">
        <v>489</v>
      </c>
      <c r="D1618">
        <v>7044</v>
      </c>
      <c r="E1618">
        <v>4226</v>
      </c>
    </row>
    <row r="1619" spans="1:5" x14ac:dyDescent="0.25">
      <c r="A1619" t="s">
        <v>1073</v>
      </c>
      <c r="B1619" t="str">
        <f>VLOOKUP(Counties_by_State_Code[[#This Row],[State_Code]],Territory_by_Code[],2)</f>
        <v>Montana</v>
      </c>
      <c r="C1619" t="s">
        <v>1075</v>
      </c>
      <c r="D1619">
        <v>6774</v>
      </c>
      <c r="E1619">
        <v>1192</v>
      </c>
    </row>
    <row r="1620" spans="1:5" x14ac:dyDescent="0.25">
      <c r="A1620" t="s">
        <v>1073</v>
      </c>
      <c r="B1620" t="str">
        <f>VLOOKUP(Counties_by_State_Code[[#This Row],[State_Code]],Territory_by_Code[],2)</f>
        <v>Montana</v>
      </c>
      <c r="C1620" t="s">
        <v>1076</v>
      </c>
      <c r="D1620">
        <v>10473</v>
      </c>
      <c r="E1620">
        <v>2048</v>
      </c>
    </row>
    <row r="1621" spans="1:5" x14ac:dyDescent="0.25">
      <c r="A1621" t="s">
        <v>1073</v>
      </c>
      <c r="B1621" t="str">
        <f>VLOOKUP(Counties_by_State_Code[[#This Row],[State_Code]],Territory_by_Code[],2)</f>
        <v>Montana</v>
      </c>
      <c r="C1621" t="s">
        <v>743</v>
      </c>
      <c r="D1621">
        <v>1415</v>
      </c>
      <c r="E1621">
        <v>3340</v>
      </c>
    </row>
    <row r="1622" spans="1:5" x14ac:dyDescent="0.25">
      <c r="A1622" t="s">
        <v>1073</v>
      </c>
      <c r="B1622" t="str">
        <f>VLOOKUP(Counties_by_State_Code[[#This Row],[State_Code]],Territory_by_Code[],2)</f>
        <v>Montana</v>
      </c>
      <c r="C1622" t="s">
        <v>1077</v>
      </c>
      <c r="D1622">
        <v>84414</v>
      </c>
      <c r="E1622">
        <v>2698</v>
      </c>
    </row>
    <row r="1623" spans="1:5" x14ac:dyDescent="0.25">
      <c r="A1623" t="s">
        <v>1073</v>
      </c>
      <c r="B1623" t="str">
        <f>VLOOKUP(Counties_by_State_Code[[#This Row],[State_Code]],Territory_by_Code[],2)</f>
        <v>Montana</v>
      </c>
      <c r="C1623" t="s">
        <v>1078</v>
      </c>
      <c r="D1623">
        <v>5895</v>
      </c>
      <c r="E1623">
        <v>3973</v>
      </c>
    </row>
    <row r="1624" spans="1:5" x14ac:dyDescent="0.25">
      <c r="A1624" t="s">
        <v>1073</v>
      </c>
      <c r="B1624" t="str">
        <f>VLOOKUP(Counties_by_State_Code[[#This Row],[State_Code]],Territory_by_Code[],2)</f>
        <v>Montana</v>
      </c>
      <c r="C1624" t="s">
        <v>251</v>
      </c>
      <c r="D1624">
        <v>11867</v>
      </c>
      <c r="E1624">
        <v>3783</v>
      </c>
    </row>
    <row r="1625" spans="1:5" x14ac:dyDescent="0.25">
      <c r="A1625" t="s">
        <v>1073</v>
      </c>
      <c r="B1625" t="str">
        <f>VLOOKUP(Counties_by_State_Code[[#This Row],[State_Code]],Territory_by_Code[],2)</f>
        <v>Montana</v>
      </c>
      <c r="C1625" t="s">
        <v>1079</v>
      </c>
      <c r="D1625">
        <v>1661</v>
      </c>
      <c r="E1625">
        <v>1426</v>
      </c>
    </row>
    <row r="1626" spans="1:5" x14ac:dyDescent="0.25">
      <c r="A1626" t="s">
        <v>1073</v>
      </c>
      <c r="B1626" t="str">
        <f>VLOOKUP(Counties_by_State_Code[[#This Row],[State_Code]],Territory_by_Code[],2)</f>
        <v>Montana</v>
      </c>
      <c r="C1626" t="s">
        <v>397</v>
      </c>
      <c r="D1626">
        <v>8940</v>
      </c>
      <c r="E1626">
        <v>2373</v>
      </c>
    </row>
    <row r="1627" spans="1:5" x14ac:dyDescent="0.25">
      <c r="A1627" t="s">
        <v>1073</v>
      </c>
      <c r="B1627" t="str">
        <f>VLOOKUP(Counties_by_State_Code[[#This Row],[State_Code]],Territory_by_Code[],2)</f>
        <v>Montana</v>
      </c>
      <c r="C1627" t="s">
        <v>1080</v>
      </c>
      <c r="D1627">
        <v>9421</v>
      </c>
      <c r="E1627">
        <v>737</v>
      </c>
    </row>
    <row r="1628" spans="1:5" x14ac:dyDescent="0.25">
      <c r="A1628" t="s">
        <v>1073</v>
      </c>
      <c r="B1628" t="str">
        <f>VLOOKUP(Counties_by_State_Code[[#This Row],[State_Code]],Territory_by_Code[],2)</f>
        <v>Montana</v>
      </c>
      <c r="C1628" t="s">
        <v>1081</v>
      </c>
      <c r="D1628">
        <v>3049</v>
      </c>
      <c r="E1628">
        <v>1620</v>
      </c>
    </row>
    <row r="1629" spans="1:5" x14ac:dyDescent="0.25">
      <c r="A1629" t="s">
        <v>1073</v>
      </c>
      <c r="B1629" t="str">
        <f>VLOOKUP(Counties_by_State_Code[[#This Row],[State_Code]],Territory_by_Code[],2)</f>
        <v>Montana</v>
      </c>
      <c r="C1629" t="s">
        <v>1082</v>
      </c>
      <c r="D1629">
        <v>11446</v>
      </c>
      <c r="E1629">
        <v>4339</v>
      </c>
    </row>
    <row r="1630" spans="1:5" x14ac:dyDescent="0.25">
      <c r="A1630" t="s">
        <v>1073</v>
      </c>
      <c r="B1630" t="str">
        <f>VLOOKUP(Counties_by_State_Code[[#This Row],[State_Code]],Territory_by_Code[],2)</f>
        <v>Montana</v>
      </c>
      <c r="C1630" t="s">
        <v>1083</v>
      </c>
      <c r="D1630">
        <v>104357</v>
      </c>
      <c r="E1630">
        <v>5099</v>
      </c>
    </row>
    <row r="1631" spans="1:5" x14ac:dyDescent="0.25">
      <c r="A1631" t="s">
        <v>1073</v>
      </c>
      <c r="B1631" t="str">
        <f>VLOOKUP(Counties_by_State_Code[[#This Row],[State_Code]],Territory_by_Code[],2)</f>
        <v>Montana</v>
      </c>
      <c r="C1631" t="s">
        <v>533</v>
      </c>
      <c r="D1631">
        <v>118960</v>
      </c>
      <c r="E1631">
        <v>2507</v>
      </c>
    </row>
    <row r="1632" spans="1:5" x14ac:dyDescent="0.25">
      <c r="A1632" t="s">
        <v>1073</v>
      </c>
      <c r="B1632" t="str">
        <f>VLOOKUP(Counties_by_State_Code[[#This Row],[State_Code]],Territory_by_Code[],2)</f>
        <v>Montana</v>
      </c>
      <c r="C1632" t="s">
        <v>260</v>
      </c>
      <c r="D1632">
        <v>1173</v>
      </c>
      <c r="E1632">
        <v>4668</v>
      </c>
    </row>
    <row r="1633" spans="1:5" x14ac:dyDescent="0.25">
      <c r="A1633" t="s">
        <v>1073</v>
      </c>
      <c r="B1633" t="str">
        <f>VLOOKUP(Counties_by_State_Code[[#This Row],[State_Code]],Territory_by_Code[],2)</f>
        <v>Montana</v>
      </c>
      <c r="C1633" t="s">
        <v>1084</v>
      </c>
      <c r="D1633">
        <v>13778</v>
      </c>
      <c r="E1633">
        <v>2995</v>
      </c>
    </row>
    <row r="1634" spans="1:5" x14ac:dyDescent="0.25">
      <c r="A1634" t="s">
        <v>1073</v>
      </c>
      <c r="B1634" t="str">
        <f>VLOOKUP(Counties_by_State_Code[[#This Row],[State_Code]],Territory_by_Code[],2)</f>
        <v>Montana</v>
      </c>
      <c r="C1634" t="s">
        <v>1085</v>
      </c>
      <c r="D1634">
        <v>823</v>
      </c>
      <c r="E1634">
        <v>1175</v>
      </c>
    </row>
    <row r="1635" spans="1:5" x14ac:dyDescent="0.25">
      <c r="A1635" t="s">
        <v>1073</v>
      </c>
      <c r="B1635" t="str">
        <f>VLOOKUP(Counties_by_State_Code[[#This Row],[State_Code]],Territory_by_Code[],2)</f>
        <v>Montana</v>
      </c>
      <c r="C1635" t="s">
        <v>1086</v>
      </c>
      <c r="D1635">
        <v>3309</v>
      </c>
      <c r="E1635">
        <v>1728</v>
      </c>
    </row>
    <row r="1636" spans="1:5" x14ac:dyDescent="0.25">
      <c r="A1636" t="s">
        <v>1073</v>
      </c>
      <c r="B1636" t="str">
        <f>VLOOKUP(Counties_by_State_Code[[#This Row],[State_Code]],Territory_by_Code[],2)</f>
        <v>Montana</v>
      </c>
      <c r="C1636" t="s">
        <v>1087</v>
      </c>
      <c r="D1636">
        <v>16309</v>
      </c>
      <c r="E1636">
        <v>2896</v>
      </c>
    </row>
    <row r="1637" spans="1:5" x14ac:dyDescent="0.25">
      <c r="A1637" t="s">
        <v>1073</v>
      </c>
      <c r="B1637" t="str">
        <f>VLOOKUP(Counties_by_State_Code[[#This Row],[State_Code]],Territory_by_Code[],2)</f>
        <v>Montana</v>
      </c>
      <c r="C1637" t="s">
        <v>37</v>
      </c>
      <c r="D1637">
        <v>12085</v>
      </c>
      <c r="E1637">
        <v>1657</v>
      </c>
    </row>
    <row r="1638" spans="1:5" x14ac:dyDescent="0.25">
      <c r="A1638" t="s">
        <v>1073</v>
      </c>
      <c r="B1638" t="str">
        <f>VLOOKUP(Counties_by_State_Code[[#This Row],[State_Code]],Territory_by_Code[],2)</f>
        <v>Montana</v>
      </c>
      <c r="C1638" t="s">
        <v>1088</v>
      </c>
      <c r="D1638">
        <v>2023</v>
      </c>
      <c r="E1638">
        <v>1870</v>
      </c>
    </row>
    <row r="1639" spans="1:5" x14ac:dyDescent="0.25">
      <c r="A1639" t="s">
        <v>1073</v>
      </c>
      <c r="B1639" t="str">
        <f>VLOOKUP(Counties_by_State_Code[[#This Row],[State_Code]],Territory_by_Code[],2)</f>
        <v>Montana</v>
      </c>
      <c r="C1639" t="s">
        <v>196</v>
      </c>
      <c r="D1639">
        <v>31134</v>
      </c>
      <c r="E1639">
        <v>1490</v>
      </c>
    </row>
    <row r="1640" spans="1:5" x14ac:dyDescent="0.25">
      <c r="A1640" t="s">
        <v>1073</v>
      </c>
      <c r="B1640" t="str">
        <f>VLOOKUP(Counties_by_State_Code[[#This Row],[State_Code]],Territory_by_Code[],2)</f>
        <v>Montana</v>
      </c>
      <c r="C1640" t="s">
        <v>1089</v>
      </c>
      <c r="D1640">
        <v>70973</v>
      </c>
      <c r="E1640">
        <v>3461</v>
      </c>
    </row>
    <row r="1641" spans="1:5" x14ac:dyDescent="0.25">
      <c r="A1641" t="s">
        <v>1073</v>
      </c>
      <c r="B1641" t="str">
        <f>VLOOKUP(Counties_by_State_Code[[#This Row],[State_Code]],Territory_by_Code[],2)</f>
        <v>Montana</v>
      </c>
      <c r="C1641" t="s">
        <v>344</v>
      </c>
      <c r="D1641">
        <v>1959</v>
      </c>
      <c r="E1641">
        <v>1430</v>
      </c>
    </row>
    <row r="1642" spans="1:5" x14ac:dyDescent="0.25">
      <c r="A1642" t="s">
        <v>1073</v>
      </c>
      <c r="B1642" t="str">
        <f>VLOOKUP(Counties_by_State_Code[[#This Row],[State_Code]],Territory_by_Code[],2)</f>
        <v>Montana</v>
      </c>
      <c r="C1642" t="s">
        <v>151</v>
      </c>
      <c r="D1642">
        <v>19677</v>
      </c>
      <c r="E1642">
        <v>3613</v>
      </c>
    </row>
    <row r="1643" spans="1:5" x14ac:dyDescent="0.25">
      <c r="A1643" t="s">
        <v>1073</v>
      </c>
      <c r="B1643" t="str">
        <f>VLOOKUP(Counties_by_State_Code[[#This Row],[State_Code]],Territory_by_Code[],2)</f>
        <v>Montana</v>
      </c>
      <c r="C1643" t="s">
        <v>45</v>
      </c>
      <c r="D1643">
        <v>8623</v>
      </c>
      <c r="E1643">
        <v>2643</v>
      </c>
    </row>
    <row r="1644" spans="1:5" x14ac:dyDescent="0.25">
      <c r="A1644" t="s">
        <v>1073</v>
      </c>
      <c r="B1644" t="str">
        <f>VLOOKUP(Counties_by_State_Code[[#This Row],[State_Code]],Territory_by_Code[],2)</f>
        <v>Montana</v>
      </c>
      <c r="C1644" t="s">
        <v>1090</v>
      </c>
      <c r="D1644">
        <v>1729</v>
      </c>
      <c r="E1644">
        <v>3587</v>
      </c>
    </row>
    <row r="1645" spans="1:5" x14ac:dyDescent="0.25">
      <c r="A1645" t="s">
        <v>1073</v>
      </c>
      <c r="B1645" t="str">
        <f>VLOOKUP(Counties_by_State_Code[[#This Row],[State_Code]],Territory_by_Code[],2)</f>
        <v>Montana</v>
      </c>
      <c r="C1645" t="s">
        <v>1091</v>
      </c>
      <c r="D1645">
        <v>1927</v>
      </c>
      <c r="E1645">
        <v>2392</v>
      </c>
    </row>
    <row r="1646" spans="1:5" x14ac:dyDescent="0.25">
      <c r="A1646" t="s">
        <v>1073</v>
      </c>
      <c r="B1646" t="str">
        <f>VLOOKUP(Counties_by_State_Code[[#This Row],[State_Code]],Territory_by_Code[],2)</f>
        <v>Montana</v>
      </c>
      <c r="C1646" t="s">
        <v>272</v>
      </c>
      <c r="D1646">
        <v>4535</v>
      </c>
      <c r="E1646">
        <v>1220</v>
      </c>
    </row>
    <row r="1647" spans="1:5" x14ac:dyDescent="0.25">
      <c r="A1647" t="s">
        <v>1073</v>
      </c>
      <c r="B1647" t="str">
        <f>VLOOKUP(Counties_by_State_Code[[#This Row],[State_Code]],Territory_by_Code[],2)</f>
        <v>Montana</v>
      </c>
      <c r="C1647" t="s">
        <v>1092</v>
      </c>
      <c r="D1647">
        <v>117922</v>
      </c>
      <c r="E1647">
        <v>2598</v>
      </c>
    </row>
    <row r="1648" spans="1:5" x14ac:dyDescent="0.25">
      <c r="A1648" t="s">
        <v>1073</v>
      </c>
      <c r="B1648" t="str">
        <f>VLOOKUP(Counties_by_State_Code[[#This Row],[State_Code]],Territory_by_Code[],2)</f>
        <v>Montana</v>
      </c>
      <c r="C1648" t="s">
        <v>1093</v>
      </c>
      <c r="D1648">
        <v>4730</v>
      </c>
      <c r="E1648">
        <v>1867</v>
      </c>
    </row>
    <row r="1649" spans="1:5" x14ac:dyDescent="0.25">
      <c r="A1649" t="s">
        <v>1073</v>
      </c>
      <c r="B1649" t="str">
        <f>VLOOKUP(Counties_by_State_Code[[#This Row],[State_Code]],Territory_by_Code[],2)</f>
        <v>Montana</v>
      </c>
      <c r="C1649" t="s">
        <v>278</v>
      </c>
      <c r="D1649">
        <v>17191</v>
      </c>
      <c r="E1649">
        <v>2656</v>
      </c>
    </row>
    <row r="1650" spans="1:5" x14ac:dyDescent="0.25">
      <c r="A1650" t="s">
        <v>1073</v>
      </c>
      <c r="B1650" t="str">
        <f>VLOOKUP(Counties_by_State_Code[[#This Row],[State_Code]],Territory_by_Code[],2)</f>
        <v>Montana</v>
      </c>
      <c r="C1650" t="s">
        <v>1094</v>
      </c>
      <c r="D1650">
        <v>496</v>
      </c>
      <c r="E1650">
        <v>1654</v>
      </c>
    </row>
    <row r="1651" spans="1:5" x14ac:dyDescent="0.25">
      <c r="A1651" t="s">
        <v>1073</v>
      </c>
      <c r="B1651" t="str">
        <f>VLOOKUP(Counties_by_State_Code[[#This Row],[State_Code]],Territory_by_Code[],2)</f>
        <v>Montana</v>
      </c>
      <c r="C1651" t="s">
        <v>160</v>
      </c>
      <c r="D1651">
        <v>4217</v>
      </c>
      <c r="E1651">
        <v>5140</v>
      </c>
    </row>
    <row r="1652" spans="1:5" x14ac:dyDescent="0.25">
      <c r="A1652" t="s">
        <v>1073</v>
      </c>
      <c r="B1652" t="str">
        <f>VLOOKUP(Counties_by_State_Code[[#This Row],[State_Code]],Territory_by_Code[],2)</f>
        <v>Montana</v>
      </c>
      <c r="C1652" t="s">
        <v>1095</v>
      </c>
      <c r="D1652">
        <v>5898</v>
      </c>
      <c r="E1652">
        <v>1625</v>
      </c>
    </row>
    <row r="1653" spans="1:5" x14ac:dyDescent="0.25">
      <c r="A1653" t="s">
        <v>1073</v>
      </c>
      <c r="B1653" t="str">
        <f>VLOOKUP(Counties_by_State_Code[[#This Row],[State_Code]],Territory_by_Code[],2)</f>
        <v>Montana</v>
      </c>
      <c r="C1653" t="s">
        <v>1096</v>
      </c>
      <c r="D1653">
        <v>1694</v>
      </c>
      <c r="E1653">
        <v>3297</v>
      </c>
    </row>
    <row r="1654" spans="1:5" x14ac:dyDescent="0.25">
      <c r="A1654" t="s">
        <v>1073</v>
      </c>
      <c r="B1654" t="str">
        <f>VLOOKUP(Counties_by_State_Code[[#This Row],[State_Code]],Territory_by_Code[],2)</f>
        <v>Montana</v>
      </c>
      <c r="C1654" t="s">
        <v>775</v>
      </c>
      <c r="D1654">
        <v>6946</v>
      </c>
      <c r="E1654">
        <v>2326</v>
      </c>
    </row>
    <row r="1655" spans="1:5" x14ac:dyDescent="0.25">
      <c r="A1655" t="s">
        <v>1073</v>
      </c>
      <c r="B1655" t="str">
        <f>VLOOKUP(Counties_by_State_Code[[#This Row],[State_Code]],Territory_by_Code[],2)</f>
        <v>Montana</v>
      </c>
      <c r="C1655" t="s">
        <v>164</v>
      </c>
      <c r="D1655">
        <v>1088</v>
      </c>
      <c r="E1655">
        <v>1737</v>
      </c>
    </row>
    <row r="1656" spans="1:5" x14ac:dyDescent="0.25">
      <c r="A1656" t="s">
        <v>1073</v>
      </c>
      <c r="B1656" t="str">
        <f>VLOOKUP(Counties_by_State_Code[[#This Row],[State_Code]],Territory_by_Code[],2)</f>
        <v>Montana</v>
      </c>
      <c r="C1656" t="s">
        <v>1097</v>
      </c>
      <c r="D1656">
        <v>44174</v>
      </c>
      <c r="E1656">
        <v>2394</v>
      </c>
    </row>
    <row r="1657" spans="1:5" x14ac:dyDescent="0.25">
      <c r="A1657" t="s">
        <v>1073</v>
      </c>
      <c r="B1657" t="str">
        <f>VLOOKUP(Counties_by_State_Code[[#This Row],[State_Code]],Territory_by_Code[],2)</f>
        <v>Montana</v>
      </c>
      <c r="C1657" t="s">
        <v>558</v>
      </c>
      <c r="D1657">
        <v>11491</v>
      </c>
      <c r="E1657">
        <v>2084</v>
      </c>
    </row>
    <row r="1658" spans="1:5" x14ac:dyDescent="0.25">
      <c r="A1658" t="s">
        <v>1073</v>
      </c>
      <c r="B1658" t="str">
        <f>VLOOKUP(Counties_by_State_Code[[#This Row],[State_Code]],Territory_by_Code[],2)</f>
        <v>Montana</v>
      </c>
      <c r="C1658" t="s">
        <v>1098</v>
      </c>
      <c r="D1658">
        <v>10794</v>
      </c>
      <c r="E1658">
        <v>2356</v>
      </c>
    </row>
    <row r="1659" spans="1:5" x14ac:dyDescent="0.25">
      <c r="A1659" t="s">
        <v>1073</v>
      </c>
      <c r="B1659" t="str">
        <f>VLOOKUP(Counties_by_State_Code[[#This Row],[State_Code]],Territory_by_Code[],2)</f>
        <v>Montana</v>
      </c>
      <c r="C1659" t="s">
        <v>1099</v>
      </c>
      <c r="D1659">
        <v>8329</v>
      </c>
      <c r="E1659">
        <v>5012</v>
      </c>
    </row>
    <row r="1660" spans="1:5" x14ac:dyDescent="0.25">
      <c r="A1660" t="s">
        <v>1073</v>
      </c>
      <c r="B1660" t="str">
        <f>VLOOKUP(Counties_by_State_Code[[#This Row],[State_Code]],Territory_by_Code[],2)</f>
        <v>Montana</v>
      </c>
      <c r="C1660" t="s">
        <v>1100</v>
      </c>
      <c r="D1660">
        <v>12400</v>
      </c>
      <c r="E1660">
        <v>2762</v>
      </c>
    </row>
    <row r="1661" spans="1:5" x14ac:dyDescent="0.25">
      <c r="A1661" t="s">
        <v>1073</v>
      </c>
      <c r="B1661" t="str">
        <f>VLOOKUP(Counties_by_State_Code[[#This Row],[State_Code]],Territory_by_Code[],2)</f>
        <v>Montana</v>
      </c>
      <c r="C1661" t="s">
        <v>714</v>
      </c>
      <c r="D1661">
        <v>3539</v>
      </c>
      <c r="E1661">
        <v>1677</v>
      </c>
    </row>
    <row r="1662" spans="1:5" x14ac:dyDescent="0.25">
      <c r="A1662" t="s">
        <v>1073</v>
      </c>
      <c r="B1662" t="str">
        <f>VLOOKUP(Counties_by_State_Code[[#This Row],[State_Code]],Territory_by_Code[],2)</f>
        <v>Montana</v>
      </c>
      <c r="C1662" t="s">
        <v>1101</v>
      </c>
      <c r="D1662">
        <v>35133</v>
      </c>
      <c r="E1662">
        <v>718</v>
      </c>
    </row>
    <row r="1663" spans="1:5" x14ac:dyDescent="0.25">
      <c r="A1663" t="s">
        <v>1073</v>
      </c>
      <c r="B1663" t="str">
        <f>VLOOKUP(Counties_by_State_Code[[#This Row],[State_Code]],Territory_by_Code[],2)</f>
        <v>Montana</v>
      </c>
      <c r="C1663" t="s">
        <v>1102</v>
      </c>
      <c r="D1663">
        <v>8963</v>
      </c>
      <c r="E1663">
        <v>1795</v>
      </c>
    </row>
    <row r="1664" spans="1:5" x14ac:dyDescent="0.25">
      <c r="A1664" t="s">
        <v>1073</v>
      </c>
      <c r="B1664" t="str">
        <f>VLOOKUP(Counties_by_State_Code[[#This Row],[State_Code]],Territory_by_Code[],2)</f>
        <v>Montana</v>
      </c>
      <c r="C1664" t="s">
        <v>1103</v>
      </c>
      <c r="D1664">
        <v>3678</v>
      </c>
      <c r="E1664">
        <v>1855</v>
      </c>
    </row>
    <row r="1665" spans="1:5" x14ac:dyDescent="0.25">
      <c r="A1665" t="s">
        <v>1073</v>
      </c>
      <c r="B1665" t="str">
        <f>VLOOKUP(Counties_by_State_Code[[#This Row],[State_Code]],Territory_by_Code[],2)</f>
        <v>Montana</v>
      </c>
      <c r="C1665" t="s">
        <v>514</v>
      </c>
      <c r="D1665">
        <v>6226</v>
      </c>
      <c r="E1665">
        <v>2273</v>
      </c>
    </row>
    <row r="1666" spans="1:5" x14ac:dyDescent="0.25">
      <c r="A1666" t="s">
        <v>1073</v>
      </c>
      <c r="B1666" t="str">
        <f>VLOOKUP(Counties_by_State_Code[[#This Row],[State_Code]],Territory_by_Code[],2)</f>
        <v>Montana</v>
      </c>
      <c r="C1666" t="s">
        <v>1104</v>
      </c>
      <c r="D1666">
        <v>4971</v>
      </c>
      <c r="E1666">
        <v>1911</v>
      </c>
    </row>
    <row r="1667" spans="1:5" x14ac:dyDescent="0.25">
      <c r="A1667" t="s">
        <v>1073</v>
      </c>
      <c r="B1667" t="str">
        <f>VLOOKUP(Counties_by_State_Code[[#This Row],[State_Code]],Territory_by_Code[],2)</f>
        <v>Montana</v>
      </c>
      <c r="C1667" t="s">
        <v>1105</v>
      </c>
      <c r="D1667">
        <v>762</v>
      </c>
      <c r="E1667">
        <v>979</v>
      </c>
    </row>
    <row r="1668" spans="1:5" x14ac:dyDescent="0.25">
      <c r="A1668" t="s">
        <v>1073</v>
      </c>
      <c r="B1668" t="str">
        <f>VLOOKUP(Counties_by_State_Code[[#This Row],[State_Code]],Territory_by_Code[],2)</f>
        <v>Montana</v>
      </c>
      <c r="C1668" t="s">
        <v>516</v>
      </c>
      <c r="D1668">
        <v>7578</v>
      </c>
      <c r="E1668">
        <v>4921</v>
      </c>
    </row>
    <row r="1669" spans="1:5" x14ac:dyDescent="0.25">
      <c r="A1669" t="s">
        <v>1073</v>
      </c>
      <c r="B1669" t="str">
        <f>VLOOKUP(Counties_by_State_Code[[#This Row],[State_Code]],Territory_by_Code[],2)</f>
        <v>Montana</v>
      </c>
      <c r="C1669" t="s">
        <v>1106</v>
      </c>
      <c r="D1669">
        <v>2069</v>
      </c>
      <c r="E1669">
        <v>1423</v>
      </c>
    </row>
    <row r="1670" spans="1:5" x14ac:dyDescent="0.25">
      <c r="A1670" t="s">
        <v>1073</v>
      </c>
      <c r="B1670" t="str">
        <f>VLOOKUP(Counties_by_State_Code[[#This Row],[State_Code]],Territory_by_Code[],2)</f>
        <v>Montana</v>
      </c>
      <c r="C1670" t="s">
        <v>1107</v>
      </c>
      <c r="D1670">
        <v>937</v>
      </c>
      <c r="E1670">
        <v>889</v>
      </c>
    </row>
    <row r="1671" spans="1:5" x14ac:dyDescent="0.25">
      <c r="A1671" t="s">
        <v>1073</v>
      </c>
      <c r="B1671" t="str">
        <f>VLOOKUP(Counties_by_State_Code[[#This Row],[State_Code]],Territory_by_Code[],2)</f>
        <v>Montana</v>
      </c>
      <c r="C1671" t="s">
        <v>1108</v>
      </c>
      <c r="D1671">
        <v>164731</v>
      </c>
      <c r="E1671">
        <v>2635</v>
      </c>
    </row>
    <row r="1672" spans="1:5" x14ac:dyDescent="0.25">
      <c r="A1672" t="s">
        <v>1109</v>
      </c>
      <c r="B1672" t="str">
        <f>VLOOKUP(Counties_by_State_Code[[#This Row],[State_Code]],Territory_by_Code[],2)</f>
        <v>Nebraska</v>
      </c>
      <c r="C1672" t="s">
        <v>236</v>
      </c>
      <c r="D1672">
        <v>31205</v>
      </c>
      <c r="E1672">
        <v>563</v>
      </c>
    </row>
    <row r="1673" spans="1:5" x14ac:dyDescent="0.25">
      <c r="A1673" t="s">
        <v>1109</v>
      </c>
      <c r="B1673" t="str">
        <f>VLOOKUP(Counties_by_State_Code[[#This Row],[State_Code]],Territory_by_Code[],2)</f>
        <v>Nebraska</v>
      </c>
      <c r="C1673" t="s">
        <v>1110</v>
      </c>
      <c r="D1673">
        <v>6295</v>
      </c>
      <c r="E1673">
        <v>857</v>
      </c>
    </row>
    <row r="1674" spans="1:5" x14ac:dyDescent="0.25">
      <c r="A1674" t="s">
        <v>1109</v>
      </c>
      <c r="B1674" t="str">
        <f>VLOOKUP(Counties_by_State_Code[[#This Row],[State_Code]],Territory_by_Code[],2)</f>
        <v>Nebraska</v>
      </c>
      <c r="C1674" t="s">
        <v>1111</v>
      </c>
      <c r="D1674">
        <v>434</v>
      </c>
      <c r="E1674">
        <v>715</v>
      </c>
    </row>
    <row r="1675" spans="1:5" x14ac:dyDescent="0.25">
      <c r="A1675" t="s">
        <v>1109</v>
      </c>
      <c r="B1675" t="str">
        <f>VLOOKUP(Counties_by_State_Code[[#This Row],[State_Code]],Territory_by_Code[],2)</f>
        <v>Nebraska</v>
      </c>
      <c r="C1675" t="s">
        <v>1112</v>
      </c>
      <c r="D1675">
        <v>674</v>
      </c>
      <c r="E1675">
        <v>746</v>
      </c>
    </row>
    <row r="1676" spans="1:5" x14ac:dyDescent="0.25">
      <c r="A1676" t="s">
        <v>1109</v>
      </c>
      <c r="B1676" t="str">
        <f>VLOOKUP(Counties_by_State_Code[[#This Row],[State_Code]],Territory_by_Code[],2)</f>
        <v>Nebraska</v>
      </c>
      <c r="C1676" t="s">
        <v>489</v>
      </c>
      <c r="D1676">
        <v>431</v>
      </c>
      <c r="E1676">
        <v>711</v>
      </c>
    </row>
    <row r="1677" spans="1:5" x14ac:dyDescent="0.25">
      <c r="A1677" t="s">
        <v>1109</v>
      </c>
      <c r="B1677" t="str">
        <f>VLOOKUP(Counties_by_State_Code[[#This Row],[State_Code]],Territory_by_Code[],2)</f>
        <v>Nebraska</v>
      </c>
      <c r="C1677" t="s">
        <v>126</v>
      </c>
      <c r="D1677">
        <v>5379</v>
      </c>
      <c r="E1677">
        <v>687</v>
      </c>
    </row>
    <row r="1678" spans="1:5" x14ac:dyDescent="0.25">
      <c r="A1678" t="s">
        <v>1109</v>
      </c>
      <c r="B1678" t="str">
        <f>VLOOKUP(Counties_by_State_Code[[#This Row],[State_Code]],Territory_by_Code[],2)</f>
        <v>Nebraska</v>
      </c>
      <c r="C1678" t="s">
        <v>1113</v>
      </c>
      <c r="D1678">
        <v>10842</v>
      </c>
      <c r="E1678">
        <v>1075</v>
      </c>
    </row>
    <row r="1679" spans="1:5" x14ac:dyDescent="0.25">
      <c r="A1679" t="s">
        <v>1109</v>
      </c>
      <c r="B1679" t="str">
        <f>VLOOKUP(Counties_by_State_Code[[#This Row],[State_Code]],Territory_by_Code[],2)</f>
        <v>Nebraska</v>
      </c>
      <c r="C1679" t="s">
        <v>733</v>
      </c>
      <c r="D1679">
        <v>1810</v>
      </c>
      <c r="E1679">
        <v>540</v>
      </c>
    </row>
    <row r="1680" spans="1:5" x14ac:dyDescent="0.25">
      <c r="A1680" t="s">
        <v>1109</v>
      </c>
      <c r="B1680" t="str">
        <f>VLOOKUP(Counties_by_State_Code[[#This Row],[State_Code]],Territory_by_Code[],2)</f>
        <v>Nebraska</v>
      </c>
      <c r="C1680" t="s">
        <v>520</v>
      </c>
      <c r="D1680">
        <v>2903</v>
      </c>
      <c r="E1680">
        <v>1221</v>
      </c>
    </row>
    <row r="1681" spans="1:5" x14ac:dyDescent="0.25">
      <c r="A1681" t="s">
        <v>1109</v>
      </c>
      <c r="B1681" t="str">
        <f>VLOOKUP(Counties_by_State_Code[[#This Row],[State_Code]],Territory_by_Code[],2)</f>
        <v>Nebraska</v>
      </c>
      <c r="C1681" t="s">
        <v>1114</v>
      </c>
      <c r="D1681">
        <v>50084</v>
      </c>
      <c r="E1681">
        <v>968</v>
      </c>
    </row>
    <row r="1682" spans="1:5" x14ac:dyDescent="0.25">
      <c r="A1682" t="s">
        <v>1109</v>
      </c>
      <c r="B1682" t="str">
        <f>VLOOKUP(Counties_by_State_Code[[#This Row],[State_Code]],Territory_by_Code[],2)</f>
        <v>Nebraska</v>
      </c>
      <c r="C1682" t="s">
        <v>1115</v>
      </c>
      <c r="D1682">
        <v>6722</v>
      </c>
      <c r="E1682">
        <v>493</v>
      </c>
    </row>
    <row r="1683" spans="1:5" x14ac:dyDescent="0.25">
      <c r="A1683" t="s">
        <v>1109</v>
      </c>
      <c r="B1683" t="str">
        <f>VLOOKUP(Counties_by_State_Code[[#This Row],[State_Code]],Territory_by_Code[],2)</f>
        <v>Nebraska</v>
      </c>
      <c r="C1683" t="s">
        <v>7</v>
      </c>
      <c r="D1683">
        <v>8369</v>
      </c>
      <c r="E1683">
        <v>584</v>
      </c>
    </row>
    <row r="1684" spans="1:5" x14ac:dyDescent="0.25">
      <c r="A1684" t="s">
        <v>1109</v>
      </c>
      <c r="B1684" t="str">
        <f>VLOOKUP(Counties_by_State_Code[[#This Row],[State_Code]],Territory_by_Code[],2)</f>
        <v>Nebraska</v>
      </c>
      <c r="C1684" t="s">
        <v>522</v>
      </c>
      <c r="D1684">
        <v>26598</v>
      </c>
      <c r="E1684">
        <v>559</v>
      </c>
    </row>
    <row r="1685" spans="1:5" x14ac:dyDescent="0.25">
      <c r="A1685" t="s">
        <v>1109</v>
      </c>
      <c r="B1685" t="str">
        <f>VLOOKUP(Counties_by_State_Code[[#This Row],[State_Code]],Territory_by_Code[],2)</f>
        <v>Nebraska</v>
      </c>
      <c r="C1685" t="s">
        <v>623</v>
      </c>
      <c r="D1685">
        <v>8380</v>
      </c>
      <c r="E1685">
        <v>740</v>
      </c>
    </row>
    <row r="1686" spans="1:5" x14ac:dyDescent="0.25">
      <c r="A1686" t="s">
        <v>1109</v>
      </c>
      <c r="B1686" t="str">
        <f>VLOOKUP(Counties_by_State_Code[[#This Row],[State_Code]],Territory_by_Code[],2)</f>
        <v>Nebraska</v>
      </c>
      <c r="C1686" t="s">
        <v>666</v>
      </c>
      <c r="D1686">
        <v>3893</v>
      </c>
      <c r="E1686">
        <v>894</v>
      </c>
    </row>
    <row r="1687" spans="1:5" x14ac:dyDescent="0.25">
      <c r="A1687" t="s">
        <v>1109</v>
      </c>
      <c r="B1687" t="str">
        <f>VLOOKUP(Counties_by_State_Code[[#This Row],[State_Code]],Territory_by_Code[],2)</f>
        <v>Nebraska</v>
      </c>
      <c r="C1687" t="s">
        <v>1116</v>
      </c>
      <c r="D1687">
        <v>5455</v>
      </c>
      <c r="E1687">
        <v>5961</v>
      </c>
    </row>
    <row r="1688" spans="1:5" x14ac:dyDescent="0.25">
      <c r="A1688" t="s">
        <v>1109</v>
      </c>
      <c r="B1688" t="str">
        <f>VLOOKUP(Counties_by_State_Code[[#This Row],[State_Code]],Territory_by_Code[],2)</f>
        <v>Nebraska</v>
      </c>
      <c r="C1688" t="s">
        <v>246</v>
      </c>
      <c r="D1688">
        <v>9468</v>
      </c>
      <c r="E1688">
        <v>1196</v>
      </c>
    </row>
    <row r="1689" spans="1:5" x14ac:dyDescent="0.25">
      <c r="A1689" t="s">
        <v>1109</v>
      </c>
      <c r="B1689" t="str">
        <f>VLOOKUP(Counties_by_State_Code[[#This Row],[State_Code]],Territory_by_Code[],2)</f>
        <v>Nebraska</v>
      </c>
      <c r="C1689" t="s">
        <v>14</v>
      </c>
      <c r="D1689">
        <v>6104</v>
      </c>
      <c r="E1689">
        <v>573</v>
      </c>
    </row>
    <row r="1690" spans="1:5" x14ac:dyDescent="0.25">
      <c r="A1690" t="s">
        <v>1109</v>
      </c>
      <c r="B1690" t="str">
        <f>VLOOKUP(Counties_by_State_Code[[#This Row],[State_Code]],Territory_by_Code[],2)</f>
        <v>Nebraska</v>
      </c>
      <c r="C1690" t="s">
        <v>1117</v>
      </c>
      <c r="D1690">
        <v>10582</v>
      </c>
      <c r="E1690">
        <v>413</v>
      </c>
    </row>
    <row r="1691" spans="1:5" x14ac:dyDescent="0.25">
      <c r="A1691" t="s">
        <v>1109</v>
      </c>
      <c r="B1691" t="str">
        <f>VLOOKUP(Counties_by_State_Code[[#This Row],[State_Code]],Territory_by_Code[],2)</f>
        <v>Nebraska</v>
      </c>
      <c r="C1691" t="s">
        <v>1118</v>
      </c>
      <c r="D1691">
        <v>9013</v>
      </c>
      <c r="E1691">
        <v>572</v>
      </c>
    </row>
    <row r="1692" spans="1:5" x14ac:dyDescent="0.25">
      <c r="A1692" t="s">
        <v>1109</v>
      </c>
      <c r="B1692" t="str">
        <f>VLOOKUP(Counties_by_State_Code[[#This Row],[State_Code]],Territory_by_Code[],2)</f>
        <v>Nebraska</v>
      </c>
      <c r="C1692" t="s">
        <v>251</v>
      </c>
      <c r="D1692">
        <v>10545</v>
      </c>
      <c r="E1692">
        <v>2579</v>
      </c>
    </row>
    <row r="1693" spans="1:5" x14ac:dyDescent="0.25">
      <c r="A1693" t="s">
        <v>1109</v>
      </c>
      <c r="B1693" t="str">
        <f>VLOOKUP(Counties_by_State_Code[[#This Row],[State_Code]],Territory_by_Code[],2)</f>
        <v>Nebraska</v>
      </c>
      <c r="C1693" t="s">
        <v>947</v>
      </c>
      <c r="D1693">
        <v>21582</v>
      </c>
      <c r="E1693">
        <v>264</v>
      </c>
    </row>
    <row r="1694" spans="1:5" x14ac:dyDescent="0.25">
      <c r="A1694" t="s">
        <v>1109</v>
      </c>
      <c r="B1694" t="str">
        <f>VLOOKUP(Counties_by_State_Code[[#This Row],[State_Code]],Territory_by_Code[],2)</f>
        <v>Nebraska</v>
      </c>
      <c r="C1694" t="s">
        <v>1119</v>
      </c>
      <c r="D1694">
        <v>8199</v>
      </c>
      <c r="E1694">
        <v>1396</v>
      </c>
    </row>
    <row r="1695" spans="1:5" x14ac:dyDescent="0.25">
      <c r="A1695" t="s">
        <v>1109</v>
      </c>
      <c r="B1695" t="str">
        <f>VLOOKUP(Counties_by_State_Code[[#This Row],[State_Code]],Territory_by_Code[],2)</f>
        <v>Nebraska</v>
      </c>
      <c r="C1695" t="s">
        <v>397</v>
      </c>
      <c r="D1695">
        <v>24111</v>
      </c>
      <c r="E1695">
        <v>1013</v>
      </c>
    </row>
    <row r="1696" spans="1:5" x14ac:dyDescent="0.25">
      <c r="A1696" t="s">
        <v>1109</v>
      </c>
      <c r="B1696" t="str">
        <f>VLOOKUP(Counties_by_State_Code[[#This Row],[State_Code]],Territory_by_Code[],2)</f>
        <v>Nebraska</v>
      </c>
      <c r="C1696" t="s">
        <v>1120</v>
      </c>
      <c r="D1696">
        <v>1838</v>
      </c>
      <c r="E1696">
        <v>440</v>
      </c>
    </row>
    <row r="1697" spans="1:5" x14ac:dyDescent="0.25">
      <c r="A1697" t="s">
        <v>1109</v>
      </c>
      <c r="B1697" t="str">
        <f>VLOOKUP(Counties_by_State_Code[[#This Row],[State_Code]],Territory_by_Code[],2)</f>
        <v>Nebraska</v>
      </c>
      <c r="C1697" t="s">
        <v>1121</v>
      </c>
      <c r="D1697">
        <v>5606</v>
      </c>
      <c r="E1697">
        <v>476</v>
      </c>
    </row>
    <row r="1698" spans="1:5" x14ac:dyDescent="0.25">
      <c r="A1698" t="s">
        <v>1109</v>
      </c>
      <c r="B1698" t="str">
        <f>VLOOKUP(Counties_by_State_Code[[#This Row],[State_Code]],Territory_by_Code[],2)</f>
        <v>Nebraska</v>
      </c>
      <c r="C1698" t="s">
        <v>399</v>
      </c>
      <c r="D1698">
        <v>37167</v>
      </c>
      <c r="E1698">
        <v>534</v>
      </c>
    </row>
    <row r="1699" spans="1:5" x14ac:dyDescent="0.25">
      <c r="A1699" t="s">
        <v>1109</v>
      </c>
      <c r="B1699" t="str">
        <f>VLOOKUP(Counties_by_State_Code[[#This Row],[State_Code]],Territory_by_Code[],2)</f>
        <v>Nebraska</v>
      </c>
      <c r="C1699" t="s">
        <v>255</v>
      </c>
      <c r="D1699">
        <v>584526</v>
      </c>
      <c r="E1699">
        <v>331</v>
      </c>
    </row>
    <row r="1700" spans="1:5" x14ac:dyDescent="0.25">
      <c r="A1700" t="s">
        <v>1109</v>
      </c>
      <c r="B1700" t="str">
        <f>VLOOKUP(Counties_by_State_Code[[#This Row],[State_Code]],Territory_by_Code[],2)</f>
        <v>Nebraska</v>
      </c>
      <c r="C1700" t="s">
        <v>1122</v>
      </c>
      <c r="D1700">
        <v>1654</v>
      </c>
      <c r="E1700">
        <v>920</v>
      </c>
    </row>
    <row r="1701" spans="1:5" x14ac:dyDescent="0.25">
      <c r="A1701" t="s">
        <v>1109</v>
      </c>
      <c r="B1701" t="str">
        <f>VLOOKUP(Counties_by_State_Code[[#This Row],[State_Code]],Territory_by_Code[],2)</f>
        <v>Nebraska</v>
      </c>
      <c r="C1701" t="s">
        <v>949</v>
      </c>
      <c r="D1701">
        <v>5551</v>
      </c>
      <c r="E1701">
        <v>576</v>
      </c>
    </row>
    <row r="1702" spans="1:5" x14ac:dyDescent="0.25">
      <c r="A1702" t="s">
        <v>1109</v>
      </c>
      <c r="B1702" t="str">
        <f>VLOOKUP(Counties_by_State_Code[[#This Row],[State_Code]],Territory_by_Code[],2)</f>
        <v>Nebraska</v>
      </c>
      <c r="C1702" t="s">
        <v>30</v>
      </c>
      <c r="D1702">
        <v>2889</v>
      </c>
      <c r="E1702">
        <v>576</v>
      </c>
    </row>
    <row r="1703" spans="1:5" x14ac:dyDescent="0.25">
      <c r="A1703" t="s">
        <v>1109</v>
      </c>
      <c r="B1703" t="str">
        <f>VLOOKUP(Counties_by_State_Code[[#This Row],[State_Code]],Territory_by_Code[],2)</f>
        <v>Nebraska</v>
      </c>
      <c r="C1703" t="s">
        <v>1123</v>
      </c>
      <c r="D1703">
        <v>2519</v>
      </c>
      <c r="E1703">
        <v>975</v>
      </c>
    </row>
    <row r="1704" spans="1:5" x14ac:dyDescent="0.25">
      <c r="A1704" t="s">
        <v>1109</v>
      </c>
      <c r="B1704" t="str">
        <f>VLOOKUP(Counties_by_State_Code[[#This Row],[State_Code]],Territory_by_Code[],2)</f>
        <v>Nebraska</v>
      </c>
      <c r="C1704" t="s">
        <v>1124</v>
      </c>
      <c r="D1704">
        <v>4636</v>
      </c>
      <c r="E1704">
        <v>718</v>
      </c>
    </row>
    <row r="1705" spans="1:5" x14ac:dyDescent="0.25">
      <c r="A1705" t="s">
        <v>1109</v>
      </c>
      <c r="B1705" t="str">
        <f>VLOOKUP(Counties_by_State_Code[[#This Row],[State_Code]],Territory_by_Code[],2)</f>
        <v>Nebraska</v>
      </c>
      <c r="C1705" t="s">
        <v>1125</v>
      </c>
      <c r="D1705">
        <v>21704</v>
      </c>
      <c r="E1705">
        <v>855</v>
      </c>
    </row>
    <row r="1706" spans="1:5" x14ac:dyDescent="0.25">
      <c r="A1706" t="s">
        <v>1109</v>
      </c>
      <c r="B1706" t="str">
        <f>VLOOKUP(Counties_by_State_Code[[#This Row],[State_Code]],Territory_by_Code[],2)</f>
        <v>Nebraska</v>
      </c>
      <c r="C1706" t="s">
        <v>1126</v>
      </c>
      <c r="D1706">
        <v>1874</v>
      </c>
      <c r="E1706">
        <v>1705</v>
      </c>
    </row>
    <row r="1707" spans="1:5" x14ac:dyDescent="0.25">
      <c r="A1707" t="s">
        <v>1109</v>
      </c>
      <c r="B1707" t="str">
        <f>VLOOKUP(Counties_by_State_Code[[#This Row],[State_Code]],Territory_by_Code[],2)</f>
        <v>Nebraska</v>
      </c>
      <c r="C1707" t="s">
        <v>260</v>
      </c>
      <c r="D1707">
        <v>1813</v>
      </c>
      <c r="E1707">
        <v>570</v>
      </c>
    </row>
    <row r="1708" spans="1:5" x14ac:dyDescent="0.25">
      <c r="A1708" t="s">
        <v>1109</v>
      </c>
      <c r="B1708" t="str">
        <f>VLOOKUP(Counties_by_State_Code[[#This Row],[State_Code]],Territory_by_Code[],2)</f>
        <v>Nebraska</v>
      </c>
      <c r="C1708" t="s">
        <v>1127</v>
      </c>
      <c r="D1708">
        <v>1893</v>
      </c>
      <c r="E1708">
        <v>458</v>
      </c>
    </row>
    <row r="1709" spans="1:5" x14ac:dyDescent="0.25">
      <c r="A1709" t="s">
        <v>1109</v>
      </c>
      <c r="B1709" t="str">
        <f>VLOOKUP(Counties_by_State_Code[[#This Row],[State_Code]],Territory_by_Code[],2)</f>
        <v>Nebraska</v>
      </c>
      <c r="C1709" t="s">
        <v>143</v>
      </c>
      <c r="D1709">
        <v>611</v>
      </c>
      <c r="E1709">
        <v>776</v>
      </c>
    </row>
    <row r="1710" spans="1:5" x14ac:dyDescent="0.25">
      <c r="A1710" t="s">
        <v>1109</v>
      </c>
      <c r="B1710" t="str">
        <f>VLOOKUP(Counties_by_State_Code[[#This Row],[State_Code]],Territory_by_Code[],2)</f>
        <v>Nebraska</v>
      </c>
      <c r="C1710" t="s">
        <v>680</v>
      </c>
      <c r="D1710">
        <v>2188</v>
      </c>
      <c r="E1710">
        <v>570</v>
      </c>
    </row>
    <row r="1711" spans="1:5" x14ac:dyDescent="0.25">
      <c r="A1711" t="s">
        <v>1109</v>
      </c>
      <c r="B1711" t="str">
        <f>VLOOKUP(Counties_by_State_Code[[#This Row],[State_Code]],Territory_by_Code[],2)</f>
        <v>Nebraska</v>
      </c>
      <c r="C1711" t="s">
        <v>417</v>
      </c>
      <c r="D1711">
        <v>62895</v>
      </c>
      <c r="E1711">
        <v>546</v>
      </c>
    </row>
    <row r="1712" spans="1:5" x14ac:dyDescent="0.25">
      <c r="A1712" t="s">
        <v>1109</v>
      </c>
      <c r="B1712" t="str">
        <f>VLOOKUP(Counties_by_State_Code[[#This Row],[State_Code]],Territory_by_Code[],2)</f>
        <v>Nebraska</v>
      </c>
      <c r="C1712" t="s">
        <v>334</v>
      </c>
      <c r="D1712">
        <v>9429</v>
      </c>
      <c r="E1712">
        <v>544</v>
      </c>
    </row>
    <row r="1713" spans="1:5" x14ac:dyDescent="0.25">
      <c r="A1713" t="s">
        <v>1109</v>
      </c>
      <c r="B1713" t="str">
        <f>VLOOKUP(Counties_by_State_Code[[#This Row],[State_Code]],Territory_by_Code[],2)</f>
        <v>Nebraska</v>
      </c>
      <c r="C1713" t="s">
        <v>754</v>
      </c>
      <c r="D1713">
        <v>3073</v>
      </c>
      <c r="E1713">
        <v>553</v>
      </c>
    </row>
    <row r="1714" spans="1:5" x14ac:dyDescent="0.25">
      <c r="A1714" t="s">
        <v>1109</v>
      </c>
      <c r="B1714" t="str">
        <f>VLOOKUP(Counties_by_State_Code[[#This Row],[State_Code]],Territory_by_Code[],2)</f>
        <v>Nebraska</v>
      </c>
      <c r="C1714" t="s">
        <v>1128</v>
      </c>
      <c r="D1714">
        <v>856</v>
      </c>
      <c r="E1714">
        <v>713</v>
      </c>
    </row>
    <row r="1715" spans="1:5" x14ac:dyDescent="0.25">
      <c r="A1715" t="s">
        <v>1109</v>
      </c>
      <c r="B1715" t="str">
        <f>VLOOKUP(Counties_by_State_Code[[#This Row],[State_Code]],Territory_by_Code[],2)</f>
        <v>Nebraska</v>
      </c>
      <c r="C1715" t="s">
        <v>1129</v>
      </c>
      <c r="D1715">
        <v>2616</v>
      </c>
      <c r="E1715">
        <v>710</v>
      </c>
    </row>
    <row r="1716" spans="1:5" x14ac:dyDescent="0.25">
      <c r="A1716" t="s">
        <v>1109</v>
      </c>
      <c r="B1716" t="str">
        <f>VLOOKUP(Counties_by_State_Code[[#This Row],[State_Code]],Territory_by_Code[],2)</f>
        <v>Nebraska</v>
      </c>
      <c r="C1716" t="s">
        <v>1047</v>
      </c>
      <c r="D1716">
        <v>10127</v>
      </c>
      <c r="E1716">
        <v>2413</v>
      </c>
    </row>
    <row r="1717" spans="1:5" x14ac:dyDescent="0.25">
      <c r="A1717" t="s">
        <v>1109</v>
      </c>
      <c r="B1717" t="str">
        <f>VLOOKUP(Counties_by_State_Code[[#This Row],[State_Code]],Territory_by_Code[],2)</f>
        <v>Nebraska</v>
      </c>
      <c r="C1717" t="s">
        <v>1130</v>
      </c>
      <c r="D1717">
        <v>711</v>
      </c>
      <c r="E1717">
        <v>721</v>
      </c>
    </row>
    <row r="1718" spans="1:5" x14ac:dyDescent="0.25">
      <c r="A1718" t="s">
        <v>1109</v>
      </c>
      <c r="B1718" t="str">
        <f>VLOOKUP(Counties_by_State_Code[[#This Row],[State_Code]],Territory_by_Code[],2)</f>
        <v>Nebraska</v>
      </c>
      <c r="C1718" t="s">
        <v>146</v>
      </c>
      <c r="D1718">
        <v>6475</v>
      </c>
      <c r="E1718">
        <v>570</v>
      </c>
    </row>
    <row r="1719" spans="1:5" x14ac:dyDescent="0.25">
      <c r="A1719" t="s">
        <v>1109</v>
      </c>
      <c r="B1719" t="str">
        <f>VLOOKUP(Counties_by_State_Code[[#This Row],[State_Code]],Territory_by_Code[],2)</f>
        <v>Nebraska</v>
      </c>
      <c r="C1719" t="s">
        <v>37</v>
      </c>
      <c r="D1719">
        <v>7240</v>
      </c>
      <c r="E1719">
        <v>573</v>
      </c>
    </row>
    <row r="1720" spans="1:5" x14ac:dyDescent="0.25">
      <c r="A1720" t="s">
        <v>1109</v>
      </c>
      <c r="B1720" t="str">
        <f>VLOOKUP(Counties_by_State_Code[[#This Row],[State_Code]],Territory_by_Code[],2)</f>
        <v>Nebraska</v>
      </c>
      <c r="C1720" t="s">
        <v>149</v>
      </c>
      <c r="D1720">
        <v>5290</v>
      </c>
      <c r="E1720">
        <v>376</v>
      </c>
    </row>
    <row r="1721" spans="1:5" x14ac:dyDescent="0.25">
      <c r="A1721" t="s">
        <v>1109</v>
      </c>
      <c r="B1721" t="str">
        <f>VLOOKUP(Counties_by_State_Code[[#This Row],[State_Code]],Territory_by_Code[],2)</f>
        <v>Nebraska</v>
      </c>
      <c r="C1721" t="s">
        <v>1131</v>
      </c>
      <c r="D1721">
        <v>6688</v>
      </c>
      <c r="E1721">
        <v>516</v>
      </c>
    </row>
    <row r="1722" spans="1:5" x14ac:dyDescent="0.25">
      <c r="A1722" t="s">
        <v>1109</v>
      </c>
      <c r="B1722" t="str">
        <f>VLOOKUP(Counties_by_State_Code[[#This Row],[State_Code]],Territory_by_Code[],2)</f>
        <v>Nebraska</v>
      </c>
      <c r="C1722" t="s">
        <v>1132</v>
      </c>
      <c r="D1722">
        <v>8335</v>
      </c>
      <c r="E1722">
        <v>1061</v>
      </c>
    </row>
    <row r="1723" spans="1:5" x14ac:dyDescent="0.25">
      <c r="A1723" t="s">
        <v>1109</v>
      </c>
      <c r="B1723" t="str">
        <f>VLOOKUP(Counties_by_State_Code[[#This Row],[State_Code]],Territory_by_Code[],2)</f>
        <v>Nebraska</v>
      </c>
      <c r="C1723" t="s">
        <v>1133</v>
      </c>
      <c r="D1723">
        <v>769</v>
      </c>
      <c r="E1723">
        <v>773</v>
      </c>
    </row>
    <row r="1724" spans="1:5" x14ac:dyDescent="0.25">
      <c r="A1724" t="s">
        <v>1109</v>
      </c>
      <c r="B1724" t="str">
        <f>VLOOKUP(Counties_by_State_Code[[#This Row],[State_Code]],Territory_by_Code[],2)</f>
        <v>Nebraska</v>
      </c>
      <c r="C1724" t="s">
        <v>1134</v>
      </c>
      <c r="D1724">
        <v>3434</v>
      </c>
      <c r="E1724">
        <v>952</v>
      </c>
    </row>
    <row r="1725" spans="1:5" x14ac:dyDescent="0.25">
      <c r="A1725" t="s">
        <v>1109</v>
      </c>
      <c r="B1725" t="str">
        <f>VLOOKUP(Counties_by_State_Code[[#This Row],[State_Code]],Territory_by_Code[],2)</f>
        <v>Nebraska</v>
      </c>
      <c r="C1725" t="s">
        <v>543</v>
      </c>
      <c r="D1725">
        <v>8391</v>
      </c>
      <c r="E1725">
        <v>1108</v>
      </c>
    </row>
    <row r="1726" spans="1:5" x14ac:dyDescent="0.25">
      <c r="A1726" t="s">
        <v>1109</v>
      </c>
      <c r="B1726" t="str">
        <f>VLOOKUP(Counties_by_State_Code[[#This Row],[State_Code]],Territory_by_Code[],2)</f>
        <v>Nebraska</v>
      </c>
      <c r="C1726" t="s">
        <v>1135</v>
      </c>
      <c r="D1726">
        <v>322608</v>
      </c>
      <c r="E1726">
        <v>839</v>
      </c>
    </row>
    <row r="1727" spans="1:5" x14ac:dyDescent="0.25">
      <c r="A1727" t="s">
        <v>1109</v>
      </c>
      <c r="B1727" t="str">
        <f>VLOOKUP(Counties_by_State_Code[[#This Row],[State_Code]],Territory_by_Code[],2)</f>
        <v>Nebraska</v>
      </c>
      <c r="C1727" t="s">
        <v>151</v>
      </c>
      <c r="D1727">
        <v>34676</v>
      </c>
      <c r="E1727">
        <v>2564</v>
      </c>
    </row>
    <row r="1728" spans="1:5" x14ac:dyDescent="0.25">
      <c r="A1728" t="s">
        <v>1109</v>
      </c>
      <c r="B1728" t="str">
        <f>VLOOKUP(Counties_by_State_Code[[#This Row],[State_Code]],Territory_by_Code[],2)</f>
        <v>Nebraska</v>
      </c>
      <c r="C1728" t="s">
        <v>153</v>
      </c>
      <c r="D1728">
        <v>716</v>
      </c>
      <c r="E1728">
        <v>571</v>
      </c>
    </row>
    <row r="1729" spans="1:5" x14ac:dyDescent="0.25">
      <c r="A1729" t="s">
        <v>1109</v>
      </c>
      <c r="B1729" t="str">
        <f>VLOOKUP(Counties_by_State_Code[[#This Row],[State_Code]],Territory_by_Code[],2)</f>
        <v>Nebraska</v>
      </c>
      <c r="C1729" t="s">
        <v>1136</v>
      </c>
      <c r="D1729">
        <v>607</v>
      </c>
      <c r="E1729">
        <v>570</v>
      </c>
    </row>
    <row r="1730" spans="1:5" x14ac:dyDescent="0.25">
      <c r="A1730" t="s">
        <v>1109</v>
      </c>
      <c r="B1730" t="str">
        <f>VLOOKUP(Counties_by_State_Code[[#This Row],[State_Code]],Territory_by_Code[],2)</f>
        <v>Nebraska</v>
      </c>
      <c r="C1730" t="s">
        <v>45</v>
      </c>
      <c r="D1730">
        <v>35585</v>
      </c>
      <c r="E1730">
        <v>859</v>
      </c>
    </row>
    <row r="1731" spans="1:5" x14ac:dyDescent="0.25">
      <c r="A1731" t="s">
        <v>1109</v>
      </c>
      <c r="B1731" t="str">
        <f>VLOOKUP(Counties_by_State_Code[[#This Row],[State_Code]],Territory_by_Code[],2)</f>
        <v>Nebraska</v>
      </c>
      <c r="C1731" t="s">
        <v>692</v>
      </c>
      <c r="D1731">
        <v>399</v>
      </c>
      <c r="E1731">
        <v>573</v>
      </c>
    </row>
    <row r="1732" spans="1:5" x14ac:dyDescent="0.25">
      <c r="A1732" t="s">
        <v>1109</v>
      </c>
      <c r="B1732" t="str">
        <f>VLOOKUP(Counties_by_State_Code[[#This Row],[State_Code]],Territory_by_Code[],2)</f>
        <v>Nebraska</v>
      </c>
      <c r="C1732" t="s">
        <v>1137</v>
      </c>
      <c r="D1732">
        <v>7668</v>
      </c>
      <c r="E1732">
        <v>485</v>
      </c>
    </row>
    <row r="1733" spans="1:5" x14ac:dyDescent="0.25">
      <c r="A1733" t="s">
        <v>1109</v>
      </c>
      <c r="B1733" t="str">
        <f>VLOOKUP(Counties_by_State_Code[[#This Row],[State_Code]],Territory_by_Code[],2)</f>
        <v>Nebraska</v>
      </c>
      <c r="C1733" t="s">
        <v>1138</v>
      </c>
      <c r="D1733">
        <v>4555</v>
      </c>
      <c r="E1733">
        <v>1424</v>
      </c>
    </row>
    <row r="1734" spans="1:5" x14ac:dyDescent="0.25">
      <c r="A1734" t="s">
        <v>1109</v>
      </c>
      <c r="B1734" t="str">
        <f>VLOOKUP(Counties_by_State_Code[[#This Row],[State_Code]],Territory_by_Code[],2)</f>
        <v>Nebraska</v>
      </c>
      <c r="C1734" t="s">
        <v>1139</v>
      </c>
      <c r="D1734">
        <v>3380</v>
      </c>
      <c r="E1734">
        <v>441</v>
      </c>
    </row>
    <row r="1735" spans="1:5" x14ac:dyDescent="0.25">
      <c r="A1735" t="s">
        <v>1109</v>
      </c>
      <c r="B1735" t="str">
        <f>VLOOKUP(Counties_by_State_Code[[#This Row],[State_Code]],Territory_by_Code[],2)</f>
        <v>Nebraska</v>
      </c>
      <c r="C1735" t="s">
        <v>696</v>
      </c>
      <c r="D1735">
        <v>7074</v>
      </c>
      <c r="E1735">
        <v>409</v>
      </c>
    </row>
    <row r="1736" spans="1:5" x14ac:dyDescent="0.25">
      <c r="A1736" t="s">
        <v>1109</v>
      </c>
      <c r="B1736" t="str">
        <f>VLOOKUP(Counties_by_State_Code[[#This Row],[State_Code]],Territory_by_Code[],2)</f>
        <v>Nebraska</v>
      </c>
      <c r="C1736" t="s">
        <v>1140</v>
      </c>
      <c r="D1736">
        <v>4095</v>
      </c>
      <c r="E1736">
        <v>575</v>
      </c>
    </row>
    <row r="1737" spans="1:5" x14ac:dyDescent="0.25">
      <c r="A1737" t="s">
        <v>1109</v>
      </c>
      <c r="B1737" t="str">
        <f>VLOOKUP(Counties_by_State_Code[[#This Row],[State_Code]],Territory_by_Code[],2)</f>
        <v>Nebraska</v>
      </c>
      <c r="C1737" t="s">
        <v>1141</v>
      </c>
      <c r="D1737">
        <v>15912</v>
      </c>
      <c r="E1737">
        <v>616</v>
      </c>
    </row>
    <row r="1738" spans="1:5" x14ac:dyDescent="0.25">
      <c r="A1738" t="s">
        <v>1109</v>
      </c>
      <c r="B1738" t="str">
        <f>VLOOKUP(Counties_by_State_Code[[#This Row],[State_Code]],Territory_by_Code[],2)</f>
        <v>Nebraska</v>
      </c>
      <c r="C1738" t="s">
        <v>703</v>
      </c>
      <c r="D1738">
        <v>2544</v>
      </c>
      <c r="E1738">
        <v>432</v>
      </c>
    </row>
    <row r="1739" spans="1:5" x14ac:dyDescent="0.25">
      <c r="A1739" t="s">
        <v>1109</v>
      </c>
      <c r="B1739" t="str">
        <f>VLOOKUP(Counties_by_State_Code[[#This Row],[State_Code]],Territory_by_Code[],2)</f>
        <v>Nebraska</v>
      </c>
      <c r="C1739" t="s">
        <v>1142</v>
      </c>
      <c r="D1739">
        <v>2858</v>
      </c>
      <c r="E1739">
        <v>883</v>
      </c>
    </row>
    <row r="1740" spans="1:5" x14ac:dyDescent="0.25">
      <c r="A1740" t="s">
        <v>1109</v>
      </c>
      <c r="B1740" t="str">
        <f>VLOOKUP(Counties_by_State_Code[[#This Row],[State_Code]],Territory_by_Code[],2)</f>
        <v>Nebraska</v>
      </c>
      <c r="C1740" t="s">
        <v>1059</v>
      </c>
      <c r="D1740">
        <v>8968</v>
      </c>
      <c r="E1740">
        <v>540</v>
      </c>
    </row>
    <row r="1741" spans="1:5" x14ac:dyDescent="0.25">
      <c r="A1741" t="s">
        <v>1109</v>
      </c>
      <c r="B1741" t="str">
        <f>VLOOKUP(Counties_by_State_Code[[#This Row],[State_Code]],Territory_by_Code[],2)</f>
        <v>Nebraska</v>
      </c>
      <c r="C1741" t="s">
        <v>442</v>
      </c>
      <c r="D1741">
        <v>7317</v>
      </c>
      <c r="E1741">
        <v>574</v>
      </c>
    </row>
    <row r="1742" spans="1:5" x14ac:dyDescent="0.25">
      <c r="A1742" t="s">
        <v>1109</v>
      </c>
      <c r="B1742" t="str">
        <f>VLOOKUP(Counties_by_State_Code[[#This Row],[State_Code]],Territory_by_Code[],2)</f>
        <v>Nebraska</v>
      </c>
      <c r="C1742" t="s">
        <v>1060</v>
      </c>
      <c r="D1742">
        <v>34296</v>
      </c>
      <c r="E1742">
        <v>678</v>
      </c>
    </row>
    <row r="1743" spans="1:5" x14ac:dyDescent="0.25">
      <c r="A1743" t="s">
        <v>1109</v>
      </c>
      <c r="B1743" t="str">
        <f>VLOOKUP(Counties_by_State_Code[[#This Row],[State_Code]],Territory_by_Code[],2)</f>
        <v>Nebraska</v>
      </c>
      <c r="C1743" t="s">
        <v>162</v>
      </c>
      <c r="D1743">
        <v>5214</v>
      </c>
      <c r="E1743">
        <v>439</v>
      </c>
    </row>
    <row r="1744" spans="1:5" x14ac:dyDescent="0.25">
      <c r="A1744" t="s">
        <v>1109</v>
      </c>
      <c r="B1744" t="str">
        <f>VLOOKUP(Counties_by_State_Code[[#This Row],[State_Code]],Territory_by_Code[],2)</f>
        <v>Nebraska</v>
      </c>
      <c r="C1744" t="s">
        <v>1143</v>
      </c>
      <c r="D1744">
        <v>10702</v>
      </c>
      <c r="E1744">
        <v>717</v>
      </c>
    </row>
    <row r="1745" spans="1:5" x14ac:dyDescent="0.25">
      <c r="A1745" t="s">
        <v>1109</v>
      </c>
      <c r="B1745" t="str">
        <f>VLOOKUP(Counties_by_State_Code[[#This Row],[State_Code]],Territory_by_Code[],2)</f>
        <v>Nebraska</v>
      </c>
      <c r="C1745" t="s">
        <v>1144</v>
      </c>
      <c r="D1745">
        <v>7871</v>
      </c>
      <c r="E1745">
        <v>554</v>
      </c>
    </row>
    <row r="1746" spans="1:5" x14ac:dyDescent="0.25">
      <c r="A1746" t="s">
        <v>1109</v>
      </c>
      <c r="B1746" t="str">
        <f>VLOOKUP(Counties_by_State_Code[[#This Row],[State_Code]],Territory_by_Code[],2)</f>
        <v>Nebraska</v>
      </c>
      <c r="C1746" t="s">
        <v>981</v>
      </c>
      <c r="D1746">
        <v>1262</v>
      </c>
      <c r="E1746">
        <v>1008</v>
      </c>
    </row>
    <row r="1747" spans="1:5" x14ac:dyDescent="0.25">
      <c r="A1747" t="s">
        <v>1109</v>
      </c>
      <c r="B1747" t="str">
        <f>VLOOKUP(Counties_by_State_Code[[#This Row],[State_Code]],Territory_by_Code[],2)</f>
        <v>Nebraska</v>
      </c>
      <c r="C1747" t="s">
        <v>167</v>
      </c>
      <c r="D1747">
        <v>14292</v>
      </c>
      <c r="E1747">
        <v>575</v>
      </c>
    </row>
    <row r="1748" spans="1:5" x14ac:dyDescent="0.25">
      <c r="A1748" t="s">
        <v>1109</v>
      </c>
      <c r="B1748" t="str">
        <f>VLOOKUP(Counties_by_State_Code[[#This Row],[State_Code]],Territory_by_Code[],2)</f>
        <v>Nebraska</v>
      </c>
      <c r="C1748" t="s">
        <v>1145</v>
      </c>
      <c r="D1748">
        <v>190604</v>
      </c>
      <c r="E1748">
        <v>241</v>
      </c>
    </row>
    <row r="1749" spans="1:5" x14ac:dyDescent="0.25">
      <c r="A1749" t="s">
        <v>1109</v>
      </c>
      <c r="B1749" t="str">
        <f>VLOOKUP(Counties_by_State_Code[[#This Row],[State_Code]],Territory_by_Code[],2)</f>
        <v>Nebraska</v>
      </c>
      <c r="C1749" t="s">
        <v>1146</v>
      </c>
      <c r="D1749">
        <v>22278</v>
      </c>
      <c r="E1749">
        <v>754</v>
      </c>
    </row>
    <row r="1750" spans="1:5" x14ac:dyDescent="0.25">
      <c r="A1750" t="s">
        <v>1109</v>
      </c>
      <c r="B1750" t="str">
        <f>VLOOKUP(Counties_by_State_Code[[#This Row],[State_Code]],Territory_by_Code[],2)</f>
        <v>Nebraska</v>
      </c>
      <c r="C1750" t="s">
        <v>1147</v>
      </c>
      <c r="D1750">
        <v>36084</v>
      </c>
      <c r="E1750">
        <v>739</v>
      </c>
    </row>
    <row r="1751" spans="1:5" x14ac:dyDescent="0.25">
      <c r="A1751" t="s">
        <v>1109</v>
      </c>
      <c r="B1751" t="str">
        <f>VLOOKUP(Counties_by_State_Code[[#This Row],[State_Code]],Territory_by_Code[],2)</f>
        <v>Nebraska</v>
      </c>
      <c r="C1751" t="s">
        <v>712</v>
      </c>
      <c r="D1751">
        <v>17609</v>
      </c>
      <c r="E1751">
        <v>575</v>
      </c>
    </row>
    <row r="1752" spans="1:5" x14ac:dyDescent="0.25">
      <c r="A1752" t="s">
        <v>1109</v>
      </c>
      <c r="B1752" t="str">
        <f>VLOOKUP(Counties_by_State_Code[[#This Row],[State_Code]],Territory_by_Code[],2)</f>
        <v>Nebraska</v>
      </c>
      <c r="C1752" t="s">
        <v>714</v>
      </c>
      <c r="D1752">
        <v>5127</v>
      </c>
      <c r="E1752">
        <v>2441</v>
      </c>
    </row>
    <row r="1753" spans="1:5" x14ac:dyDescent="0.25">
      <c r="A1753" t="s">
        <v>1109</v>
      </c>
      <c r="B1753" t="str">
        <f>VLOOKUP(Counties_by_State_Code[[#This Row],[State_Code]],Territory_by_Code[],2)</f>
        <v>Nebraska</v>
      </c>
      <c r="C1753" t="s">
        <v>715</v>
      </c>
      <c r="D1753">
        <v>2959</v>
      </c>
      <c r="E1753">
        <v>566</v>
      </c>
    </row>
    <row r="1754" spans="1:5" x14ac:dyDescent="0.25">
      <c r="A1754" t="s">
        <v>1109</v>
      </c>
      <c r="B1754" t="str">
        <f>VLOOKUP(Counties_by_State_Code[[#This Row],[State_Code]],Territory_by_Code[],2)</f>
        <v>Nebraska</v>
      </c>
      <c r="C1754" t="s">
        <v>653</v>
      </c>
      <c r="D1754">
        <v>1135</v>
      </c>
      <c r="E1754">
        <v>1313</v>
      </c>
    </row>
    <row r="1755" spans="1:5" x14ac:dyDescent="0.25">
      <c r="A1755" t="s">
        <v>1109</v>
      </c>
      <c r="B1755" t="str">
        <f>VLOOKUP(Counties_by_State_Code[[#This Row],[State_Code]],Territory_by_Code[],2)</f>
        <v>Nebraska</v>
      </c>
      <c r="C1755" t="s">
        <v>718</v>
      </c>
      <c r="D1755">
        <v>5842</v>
      </c>
      <c r="E1755">
        <v>430</v>
      </c>
    </row>
    <row r="1756" spans="1:5" x14ac:dyDescent="0.25">
      <c r="A1756" t="s">
        <v>1109</v>
      </c>
      <c r="B1756" t="str">
        <f>VLOOKUP(Counties_by_State_Code[[#This Row],[State_Code]],Territory_by_Code[],2)</f>
        <v>Nebraska</v>
      </c>
      <c r="C1756" t="s">
        <v>1148</v>
      </c>
      <c r="D1756">
        <v>5034</v>
      </c>
      <c r="E1756">
        <v>575</v>
      </c>
    </row>
    <row r="1757" spans="1:5" x14ac:dyDescent="0.25">
      <c r="A1757" t="s">
        <v>1109</v>
      </c>
      <c r="B1757" t="str">
        <f>VLOOKUP(Counties_by_State_Code[[#This Row],[State_Code]],Territory_by_Code[],2)</f>
        <v>Nebraska</v>
      </c>
      <c r="C1757" t="s">
        <v>457</v>
      </c>
      <c r="D1757">
        <v>669</v>
      </c>
      <c r="E1757">
        <v>713</v>
      </c>
    </row>
    <row r="1758" spans="1:5" x14ac:dyDescent="0.25">
      <c r="A1758" t="s">
        <v>1109</v>
      </c>
      <c r="B1758" t="str">
        <f>VLOOKUP(Counties_by_State_Code[[#This Row],[State_Code]],Territory_by_Code[],2)</f>
        <v>Nebraska</v>
      </c>
      <c r="C1758" t="s">
        <v>1149</v>
      </c>
      <c r="D1758">
        <v>6773</v>
      </c>
      <c r="E1758">
        <v>394</v>
      </c>
    </row>
    <row r="1759" spans="1:5" x14ac:dyDescent="0.25">
      <c r="A1759" t="s">
        <v>1109</v>
      </c>
      <c r="B1759" t="str">
        <f>VLOOKUP(Counties_by_State_Code[[#This Row],[State_Code]],Territory_by_Code[],2)</f>
        <v>Nebraska</v>
      </c>
      <c r="C1759" t="s">
        <v>516</v>
      </c>
      <c r="D1759">
        <v>4059</v>
      </c>
      <c r="E1759">
        <v>568</v>
      </c>
    </row>
    <row r="1760" spans="1:5" x14ac:dyDescent="0.25">
      <c r="A1760" t="s">
        <v>1109</v>
      </c>
      <c r="B1760" t="str">
        <f>VLOOKUP(Counties_by_State_Code[[#This Row],[State_Code]],Territory_by_Code[],2)</f>
        <v>Nebraska</v>
      </c>
      <c r="C1760" t="s">
        <v>65</v>
      </c>
      <c r="D1760">
        <v>20865</v>
      </c>
      <c r="E1760">
        <v>390</v>
      </c>
    </row>
    <row r="1761" spans="1:5" x14ac:dyDescent="0.25">
      <c r="A1761" t="s">
        <v>1109</v>
      </c>
      <c r="B1761" t="str">
        <f>VLOOKUP(Counties_by_State_Code[[#This Row],[State_Code]],Territory_by_Code[],2)</f>
        <v>Nebraska</v>
      </c>
      <c r="C1761" t="s">
        <v>468</v>
      </c>
      <c r="D1761">
        <v>9697</v>
      </c>
      <c r="E1761">
        <v>444</v>
      </c>
    </row>
    <row r="1762" spans="1:5" x14ac:dyDescent="0.25">
      <c r="A1762" t="s">
        <v>1109</v>
      </c>
      <c r="B1762" t="str">
        <f>VLOOKUP(Counties_by_State_Code[[#This Row],[State_Code]],Territory_by_Code[],2)</f>
        <v>Nebraska</v>
      </c>
      <c r="C1762" t="s">
        <v>469</v>
      </c>
      <c r="D1762">
        <v>3395</v>
      </c>
      <c r="E1762">
        <v>575</v>
      </c>
    </row>
    <row r="1763" spans="1:5" x14ac:dyDescent="0.25">
      <c r="A1763" t="s">
        <v>1109</v>
      </c>
      <c r="B1763" t="str">
        <f>VLOOKUP(Counties_by_State_Code[[#This Row],[State_Code]],Territory_by_Code[],2)</f>
        <v>Nebraska</v>
      </c>
      <c r="C1763" t="s">
        <v>470</v>
      </c>
      <c r="D1763">
        <v>774</v>
      </c>
      <c r="E1763">
        <v>575</v>
      </c>
    </row>
    <row r="1764" spans="1:5" x14ac:dyDescent="0.25">
      <c r="A1764" t="s">
        <v>1109</v>
      </c>
      <c r="B1764" t="str">
        <f>VLOOKUP(Counties_by_State_Code[[#This Row],[State_Code]],Territory_by_Code[],2)</f>
        <v>Nebraska</v>
      </c>
      <c r="C1764" t="s">
        <v>842</v>
      </c>
      <c r="D1764">
        <v>14125</v>
      </c>
      <c r="E1764">
        <v>576</v>
      </c>
    </row>
    <row r="1765" spans="1:5" x14ac:dyDescent="0.25">
      <c r="A1765" t="s">
        <v>1151</v>
      </c>
      <c r="B1765" t="str">
        <f>VLOOKUP(Counties_by_State_Code[[#This Row],[State_Code]],Territory_by_Code[],2)</f>
        <v>Nevada</v>
      </c>
      <c r="C1765" t="s">
        <v>1150</v>
      </c>
      <c r="D1765">
        <v>25516</v>
      </c>
      <c r="E1765">
        <v>4929</v>
      </c>
    </row>
    <row r="1766" spans="1:5" x14ac:dyDescent="0.25">
      <c r="A1766" t="s">
        <v>1151</v>
      </c>
      <c r="B1766" t="str">
        <f>VLOOKUP(Counties_by_State_Code[[#This Row],[State_Code]],Territory_by_Code[],2)</f>
        <v>Nevada</v>
      </c>
      <c r="C1766" t="s">
        <v>130</v>
      </c>
      <c r="D1766">
        <v>2265461</v>
      </c>
      <c r="E1766">
        <v>7911</v>
      </c>
    </row>
    <row r="1767" spans="1:5" x14ac:dyDescent="0.25">
      <c r="A1767" t="s">
        <v>1151</v>
      </c>
      <c r="B1767" t="str">
        <f>VLOOKUP(Counties_by_State_Code[[#This Row],[State_Code]],Territory_by_Code[],2)</f>
        <v>Nevada</v>
      </c>
      <c r="C1767" t="s">
        <v>255</v>
      </c>
      <c r="D1767">
        <v>49488</v>
      </c>
      <c r="E1767">
        <v>710</v>
      </c>
    </row>
    <row r="1768" spans="1:5" x14ac:dyDescent="0.25">
      <c r="A1768" t="s">
        <v>1151</v>
      </c>
      <c r="B1768" t="str">
        <f>VLOOKUP(Counties_by_State_Code[[#This Row],[State_Code]],Territory_by_Code[],2)</f>
        <v>Nevada</v>
      </c>
      <c r="C1768" t="s">
        <v>1152</v>
      </c>
      <c r="D1768">
        <v>53702</v>
      </c>
      <c r="E1768">
        <v>17182</v>
      </c>
    </row>
    <row r="1769" spans="1:5" x14ac:dyDescent="0.25">
      <c r="A1769" t="s">
        <v>1151</v>
      </c>
      <c r="B1769" t="str">
        <f>VLOOKUP(Counties_by_State_Code[[#This Row],[State_Code]],Territory_by_Code[],2)</f>
        <v>Nevada</v>
      </c>
      <c r="C1769" t="s">
        <v>1153</v>
      </c>
      <c r="D1769">
        <v>729</v>
      </c>
      <c r="E1769">
        <v>3589</v>
      </c>
    </row>
    <row r="1770" spans="1:5" x14ac:dyDescent="0.25">
      <c r="A1770" t="s">
        <v>1151</v>
      </c>
      <c r="B1770" t="str">
        <f>VLOOKUP(Counties_by_State_Code[[#This Row],[State_Code]],Territory_by_Code[],2)</f>
        <v>Nevada</v>
      </c>
      <c r="C1770" t="s">
        <v>1154</v>
      </c>
      <c r="D1770">
        <v>1855</v>
      </c>
      <c r="E1770">
        <v>4176</v>
      </c>
    </row>
    <row r="1771" spans="1:5" x14ac:dyDescent="0.25">
      <c r="A1771" t="s">
        <v>1151</v>
      </c>
      <c r="B1771" t="str">
        <f>VLOOKUP(Counties_by_State_Code[[#This Row],[State_Code]],Territory_by_Code[],2)</f>
        <v>Nevada</v>
      </c>
      <c r="C1771" t="s">
        <v>191</v>
      </c>
      <c r="D1771">
        <v>17285</v>
      </c>
      <c r="E1771">
        <v>9658</v>
      </c>
    </row>
    <row r="1772" spans="1:5" x14ac:dyDescent="0.25">
      <c r="A1772" t="s">
        <v>1151</v>
      </c>
      <c r="B1772" t="str">
        <f>VLOOKUP(Counties_by_State_Code[[#This Row],[State_Code]],Territory_by_Code[],2)</f>
        <v>Nevada</v>
      </c>
      <c r="C1772" t="s">
        <v>1155</v>
      </c>
      <c r="D1772">
        <v>5734</v>
      </c>
      <c r="E1772">
        <v>5798</v>
      </c>
    </row>
    <row r="1773" spans="1:5" x14ac:dyDescent="0.25">
      <c r="A1773" t="s">
        <v>1151</v>
      </c>
      <c r="B1773" t="str">
        <f>VLOOKUP(Counties_by_State_Code[[#This Row],[State_Code]],Territory_by_Code[],2)</f>
        <v>Nevada</v>
      </c>
      <c r="C1773" t="s">
        <v>151</v>
      </c>
      <c r="D1773">
        <v>4499</v>
      </c>
      <c r="E1773">
        <v>10635</v>
      </c>
    </row>
    <row r="1774" spans="1:5" x14ac:dyDescent="0.25">
      <c r="A1774" t="s">
        <v>1151</v>
      </c>
      <c r="B1774" t="str">
        <f>VLOOKUP(Counties_by_State_Code[[#This Row],[State_Code]],Territory_by_Code[],2)</f>
        <v>Nevada</v>
      </c>
      <c r="C1774" t="s">
        <v>639</v>
      </c>
      <c r="D1774">
        <v>59235</v>
      </c>
      <c r="E1774">
        <v>1994</v>
      </c>
    </row>
    <row r="1775" spans="1:5" x14ac:dyDescent="0.25">
      <c r="A1775" t="s">
        <v>1151</v>
      </c>
      <c r="B1775" t="str">
        <f>VLOOKUP(Counties_by_State_Code[[#This Row],[State_Code]],Territory_by_Code[],2)</f>
        <v>Nevada</v>
      </c>
      <c r="C1775" t="s">
        <v>272</v>
      </c>
      <c r="D1775">
        <v>4554</v>
      </c>
      <c r="E1775">
        <v>3757</v>
      </c>
    </row>
    <row r="1776" spans="1:5" x14ac:dyDescent="0.25">
      <c r="A1776" t="s">
        <v>1151</v>
      </c>
      <c r="B1776" t="str">
        <f>VLOOKUP(Counties_by_State_Code[[#This Row],[State_Code]],Territory_by_Code[],2)</f>
        <v>Nevada</v>
      </c>
      <c r="C1776" t="s">
        <v>1156</v>
      </c>
      <c r="D1776">
        <v>51591</v>
      </c>
      <c r="E1776">
        <v>18147</v>
      </c>
    </row>
    <row r="1777" spans="1:5" x14ac:dyDescent="0.25">
      <c r="A1777" t="s">
        <v>1151</v>
      </c>
      <c r="B1777" t="str">
        <f>VLOOKUP(Counties_by_State_Code[[#This Row],[State_Code]],Territory_by_Code[],2)</f>
        <v>Nevada</v>
      </c>
      <c r="C1777" t="s">
        <v>1157</v>
      </c>
      <c r="D1777">
        <v>6650</v>
      </c>
      <c r="E1777">
        <v>6009</v>
      </c>
    </row>
    <row r="1778" spans="1:5" x14ac:dyDescent="0.25">
      <c r="A1778" t="s">
        <v>1151</v>
      </c>
      <c r="B1778" t="str">
        <f>VLOOKUP(Counties_by_State_Code[[#This Row],[State_Code]],Territory_by_Code[],2)</f>
        <v>Nevada</v>
      </c>
      <c r="C1778" t="s">
        <v>1158</v>
      </c>
      <c r="D1778">
        <v>4104</v>
      </c>
      <c r="E1778">
        <v>264</v>
      </c>
    </row>
    <row r="1779" spans="1:5" x14ac:dyDescent="0.25">
      <c r="A1779" t="s">
        <v>1151</v>
      </c>
      <c r="B1779" t="str">
        <f>VLOOKUP(Counties_by_State_Code[[#This Row],[State_Code]],Territory_by_Code[],2)</f>
        <v>Nevada</v>
      </c>
      <c r="C1779" t="s">
        <v>1159</v>
      </c>
      <c r="D1779">
        <v>486492</v>
      </c>
      <c r="E1779">
        <v>6342</v>
      </c>
    </row>
    <row r="1780" spans="1:5" x14ac:dyDescent="0.25">
      <c r="A1780" t="s">
        <v>1151</v>
      </c>
      <c r="B1780" t="str">
        <f>VLOOKUP(Counties_by_State_Code[[#This Row],[State_Code]],Territory_by_Code[],2)</f>
        <v>Nevada</v>
      </c>
      <c r="C1780" t="s">
        <v>1160</v>
      </c>
      <c r="D1780">
        <v>9080</v>
      </c>
      <c r="E1780">
        <v>8877</v>
      </c>
    </row>
    <row r="1781" spans="1:5" x14ac:dyDescent="0.25">
      <c r="A1781" t="s">
        <v>1151</v>
      </c>
      <c r="B1781" t="str">
        <f>VLOOKUP(Counties_by_State_Code[[#This Row],[State_Code]],Territory_by_Code[],2)</f>
        <v>Nevada</v>
      </c>
      <c r="C1781" t="s">
        <v>1161</v>
      </c>
      <c r="D1781">
        <v>58639</v>
      </c>
      <c r="E1781">
        <v>144</v>
      </c>
    </row>
    <row r="1782" spans="1:5" x14ac:dyDescent="0.25">
      <c r="A1782" t="s">
        <v>1163</v>
      </c>
      <c r="B1782" t="str">
        <f>VLOOKUP(Counties_by_State_Code[[#This Row],[State_Code]],Territory_by_Code[],2)</f>
        <v>New Hampshire</v>
      </c>
      <c r="C1782" t="s">
        <v>1162</v>
      </c>
      <c r="D1782">
        <v>63705</v>
      </c>
      <c r="E1782">
        <v>401</v>
      </c>
    </row>
    <row r="1783" spans="1:5" x14ac:dyDescent="0.25">
      <c r="A1783" t="s">
        <v>1163</v>
      </c>
      <c r="B1783" t="str">
        <f>VLOOKUP(Counties_by_State_Code[[#This Row],[State_Code]],Territory_by_Code[],2)</f>
        <v>New Hampshire</v>
      </c>
      <c r="C1783" t="s">
        <v>128</v>
      </c>
      <c r="D1783">
        <v>50107</v>
      </c>
      <c r="E1783">
        <v>934</v>
      </c>
    </row>
    <row r="1784" spans="1:5" x14ac:dyDescent="0.25">
      <c r="A1784" t="s">
        <v>1163</v>
      </c>
      <c r="B1784" t="str">
        <f>VLOOKUP(Counties_by_State_Code[[#This Row],[State_Code]],Territory_by_Code[],2)</f>
        <v>New Hampshire</v>
      </c>
      <c r="C1784" t="s">
        <v>1164</v>
      </c>
      <c r="D1784">
        <v>76458</v>
      </c>
      <c r="E1784">
        <v>708</v>
      </c>
    </row>
    <row r="1785" spans="1:5" x14ac:dyDescent="0.25">
      <c r="A1785" t="s">
        <v>1163</v>
      </c>
      <c r="B1785" t="str">
        <f>VLOOKUP(Counties_by_State_Code[[#This Row],[State_Code]],Territory_by_Code[],2)</f>
        <v>New Hampshire</v>
      </c>
      <c r="C1785" t="s">
        <v>1165</v>
      </c>
      <c r="D1785">
        <v>31268</v>
      </c>
      <c r="E1785">
        <v>1801</v>
      </c>
    </row>
    <row r="1786" spans="1:5" x14ac:dyDescent="0.25">
      <c r="A1786" t="s">
        <v>1163</v>
      </c>
      <c r="B1786" t="str">
        <f>VLOOKUP(Counties_by_State_Code[[#This Row],[State_Code]],Territory_by_Code[],2)</f>
        <v>New Hampshire</v>
      </c>
      <c r="C1786" t="s">
        <v>1166</v>
      </c>
      <c r="D1786">
        <v>91118</v>
      </c>
      <c r="E1786">
        <v>1714</v>
      </c>
    </row>
    <row r="1787" spans="1:5" x14ac:dyDescent="0.25">
      <c r="A1787" t="s">
        <v>1163</v>
      </c>
      <c r="B1787" t="str">
        <f>VLOOKUP(Counties_by_State_Code[[#This Row],[State_Code]],Territory_by_Code[],2)</f>
        <v>New Hampshire</v>
      </c>
      <c r="C1787" t="s">
        <v>339</v>
      </c>
      <c r="D1787">
        <v>422937</v>
      </c>
      <c r="E1787">
        <v>876</v>
      </c>
    </row>
    <row r="1788" spans="1:5" x14ac:dyDescent="0.25">
      <c r="A1788" t="s">
        <v>1163</v>
      </c>
      <c r="B1788" t="str">
        <f>VLOOKUP(Counties_by_State_Code[[#This Row],[State_Code]],Territory_by_Code[],2)</f>
        <v>New Hampshire</v>
      </c>
      <c r="C1788" t="s">
        <v>1167</v>
      </c>
      <c r="D1788">
        <v>153808</v>
      </c>
      <c r="E1788">
        <v>934</v>
      </c>
    </row>
    <row r="1789" spans="1:5" x14ac:dyDescent="0.25">
      <c r="A1789" t="s">
        <v>1163</v>
      </c>
      <c r="B1789" t="str">
        <f>VLOOKUP(Counties_by_State_Code[[#This Row],[State_Code]],Territory_by_Code[],2)</f>
        <v>New Hampshire</v>
      </c>
      <c r="C1789" t="s">
        <v>1168</v>
      </c>
      <c r="D1789">
        <v>314176</v>
      </c>
      <c r="E1789">
        <v>695</v>
      </c>
    </row>
    <row r="1790" spans="1:5" x14ac:dyDescent="0.25">
      <c r="A1790" t="s">
        <v>1163</v>
      </c>
      <c r="B1790" t="str">
        <f>VLOOKUP(Counties_by_State_Code[[#This Row],[State_Code]],Territory_by_Code[],2)</f>
        <v>New Hampshire</v>
      </c>
      <c r="C1790" t="s">
        <v>1169</v>
      </c>
      <c r="D1790">
        <v>130889</v>
      </c>
      <c r="E1790">
        <v>369</v>
      </c>
    </row>
    <row r="1791" spans="1:5" x14ac:dyDescent="0.25">
      <c r="A1791" t="s">
        <v>1163</v>
      </c>
      <c r="B1791" t="str">
        <f>VLOOKUP(Counties_by_State_Code[[#This Row],[State_Code]],Territory_by_Code[],2)</f>
        <v>New Hampshire</v>
      </c>
      <c r="C1791" t="s">
        <v>604</v>
      </c>
      <c r="D1791">
        <v>43063</v>
      </c>
      <c r="E1791">
        <v>537</v>
      </c>
    </row>
    <row r="1792" spans="1:5" x14ac:dyDescent="0.25">
      <c r="A1792" t="s">
        <v>1171</v>
      </c>
      <c r="B1792" t="str">
        <f>VLOOKUP(Counties_by_State_Code[[#This Row],[State_Code]],Territory_by_Code[],2)</f>
        <v>New Jersey</v>
      </c>
      <c r="C1792" t="s">
        <v>1170</v>
      </c>
      <c r="D1792">
        <v>274534</v>
      </c>
      <c r="E1792">
        <v>561</v>
      </c>
    </row>
    <row r="1793" spans="1:5" x14ac:dyDescent="0.25">
      <c r="A1793" t="s">
        <v>1171</v>
      </c>
      <c r="B1793" t="str">
        <f>VLOOKUP(Counties_by_State_Code[[#This Row],[State_Code]],Territory_by_Code[],2)</f>
        <v>New Jersey</v>
      </c>
      <c r="C1793" t="s">
        <v>1172</v>
      </c>
      <c r="D1793">
        <v>955732</v>
      </c>
      <c r="E1793">
        <v>234</v>
      </c>
    </row>
    <row r="1794" spans="1:5" x14ac:dyDescent="0.25">
      <c r="A1794" t="s">
        <v>1171</v>
      </c>
      <c r="B1794" t="str">
        <f>VLOOKUP(Counties_by_State_Code[[#This Row],[State_Code]],Territory_by_Code[],2)</f>
        <v>New Jersey</v>
      </c>
      <c r="C1794" t="s">
        <v>1173</v>
      </c>
      <c r="D1794">
        <v>461860</v>
      </c>
      <c r="E1794">
        <v>805</v>
      </c>
    </row>
    <row r="1795" spans="1:5" x14ac:dyDescent="0.25">
      <c r="A1795" t="s">
        <v>1171</v>
      </c>
      <c r="B1795" t="str">
        <f>VLOOKUP(Counties_by_State_Code[[#This Row],[State_Code]],Territory_by_Code[],2)</f>
        <v>New Jersey</v>
      </c>
      <c r="C1795" t="s">
        <v>382</v>
      </c>
      <c r="D1795">
        <v>523485</v>
      </c>
      <c r="E1795">
        <v>222</v>
      </c>
    </row>
    <row r="1796" spans="1:5" x14ac:dyDescent="0.25">
      <c r="A1796" t="s">
        <v>1171</v>
      </c>
      <c r="B1796" t="str">
        <f>VLOOKUP(Counties_by_State_Code[[#This Row],[State_Code]],Territory_by_Code[],2)</f>
        <v>New Jersey</v>
      </c>
      <c r="C1796" t="s">
        <v>1174</v>
      </c>
      <c r="D1796">
        <v>95263</v>
      </c>
      <c r="E1796">
        <v>255</v>
      </c>
    </row>
    <row r="1797" spans="1:5" x14ac:dyDescent="0.25">
      <c r="A1797" t="s">
        <v>1171</v>
      </c>
      <c r="B1797" t="str">
        <f>VLOOKUP(Counties_by_State_Code[[#This Row],[State_Code]],Territory_by_Code[],2)</f>
        <v>New Jersey</v>
      </c>
      <c r="C1797" t="s">
        <v>527</v>
      </c>
      <c r="D1797">
        <v>154152</v>
      </c>
      <c r="E1797">
        <v>489</v>
      </c>
    </row>
    <row r="1798" spans="1:5" x14ac:dyDescent="0.25">
      <c r="A1798" t="s">
        <v>1171</v>
      </c>
      <c r="B1798" t="str">
        <f>VLOOKUP(Counties_by_State_Code[[#This Row],[State_Code]],Territory_by_Code[],2)</f>
        <v>New Jersey</v>
      </c>
      <c r="C1798" t="s">
        <v>866</v>
      </c>
      <c r="D1798">
        <v>863728</v>
      </c>
      <c r="E1798">
        <v>126</v>
      </c>
    </row>
    <row r="1799" spans="1:5" x14ac:dyDescent="0.25">
      <c r="A1799" t="s">
        <v>1171</v>
      </c>
      <c r="B1799" t="str">
        <f>VLOOKUP(Counties_by_State_Code[[#This Row],[State_Code]],Territory_by_Code[],2)</f>
        <v>New Jersey</v>
      </c>
      <c r="C1799" t="s">
        <v>1175</v>
      </c>
      <c r="D1799">
        <v>302294</v>
      </c>
      <c r="E1799">
        <v>325</v>
      </c>
    </row>
    <row r="1800" spans="1:5" x14ac:dyDescent="0.25">
      <c r="A1800" t="s">
        <v>1171</v>
      </c>
      <c r="B1800" t="str">
        <f>VLOOKUP(Counties_by_State_Code[[#This Row],[State_Code]],Territory_by_Code[],2)</f>
        <v>New Jersey</v>
      </c>
      <c r="C1800" t="s">
        <v>1176</v>
      </c>
      <c r="D1800">
        <v>724854</v>
      </c>
      <c r="E1800">
        <v>47</v>
      </c>
    </row>
    <row r="1801" spans="1:5" x14ac:dyDescent="0.25">
      <c r="A1801" t="s">
        <v>1171</v>
      </c>
      <c r="B1801" t="str">
        <f>VLOOKUP(Counties_by_State_Code[[#This Row],[State_Code]],Territory_by_Code[],2)</f>
        <v>New Jersey</v>
      </c>
      <c r="C1801" t="s">
        <v>1177</v>
      </c>
      <c r="D1801">
        <v>128947</v>
      </c>
      <c r="E1801">
        <v>430</v>
      </c>
    </row>
    <row r="1802" spans="1:5" x14ac:dyDescent="0.25">
      <c r="A1802" t="s">
        <v>1171</v>
      </c>
      <c r="B1802" t="str">
        <f>VLOOKUP(Counties_by_State_Code[[#This Row],[State_Code]],Territory_by_Code[],2)</f>
        <v>New Jersey</v>
      </c>
      <c r="C1802" t="s">
        <v>553</v>
      </c>
      <c r="D1802">
        <v>387340</v>
      </c>
      <c r="E1802">
        <v>226</v>
      </c>
    </row>
    <row r="1803" spans="1:5" x14ac:dyDescent="0.25">
      <c r="A1803" t="s">
        <v>1171</v>
      </c>
      <c r="B1803" t="str">
        <f>VLOOKUP(Counties_by_State_Code[[#This Row],[State_Code]],Territory_by_Code[],2)</f>
        <v>New Jersey</v>
      </c>
      <c r="C1803" t="s">
        <v>299</v>
      </c>
      <c r="D1803">
        <v>863162</v>
      </c>
      <c r="E1803">
        <v>311</v>
      </c>
    </row>
    <row r="1804" spans="1:5" x14ac:dyDescent="0.25">
      <c r="A1804" t="s">
        <v>1171</v>
      </c>
      <c r="B1804" t="str">
        <f>VLOOKUP(Counties_by_State_Code[[#This Row],[State_Code]],Territory_by_Code[],2)</f>
        <v>New Jersey</v>
      </c>
      <c r="C1804" t="s">
        <v>1178</v>
      </c>
      <c r="D1804">
        <v>643615</v>
      </c>
      <c r="E1804">
        <v>472</v>
      </c>
    </row>
    <row r="1805" spans="1:5" x14ac:dyDescent="0.25">
      <c r="A1805" t="s">
        <v>1171</v>
      </c>
      <c r="B1805" t="str">
        <f>VLOOKUP(Counties_by_State_Code[[#This Row],[State_Code]],Territory_by_Code[],2)</f>
        <v>New Jersey</v>
      </c>
      <c r="C1805" t="s">
        <v>694</v>
      </c>
      <c r="D1805">
        <v>509285</v>
      </c>
      <c r="E1805">
        <v>469</v>
      </c>
    </row>
    <row r="1806" spans="1:5" x14ac:dyDescent="0.25">
      <c r="A1806" t="s">
        <v>1171</v>
      </c>
      <c r="B1806" t="str">
        <f>VLOOKUP(Counties_by_State_Code[[#This Row],[State_Code]],Territory_by_Code[],2)</f>
        <v>New Jersey</v>
      </c>
      <c r="C1806" t="s">
        <v>1179</v>
      </c>
      <c r="D1806">
        <v>637229</v>
      </c>
      <c r="E1806">
        <v>636</v>
      </c>
    </row>
    <row r="1807" spans="1:5" x14ac:dyDescent="0.25">
      <c r="A1807" t="s">
        <v>1171</v>
      </c>
      <c r="B1807" t="str">
        <f>VLOOKUP(Counties_by_State_Code[[#This Row],[State_Code]],Territory_by_Code[],2)</f>
        <v>New Jersey</v>
      </c>
      <c r="C1807" t="s">
        <v>1180</v>
      </c>
      <c r="D1807">
        <v>524118</v>
      </c>
      <c r="E1807">
        <v>185</v>
      </c>
    </row>
    <row r="1808" spans="1:5" x14ac:dyDescent="0.25">
      <c r="A1808" t="s">
        <v>1171</v>
      </c>
      <c r="B1808" t="str">
        <f>VLOOKUP(Counties_by_State_Code[[#This Row],[State_Code]],Territory_by_Code[],2)</f>
        <v>New Jersey</v>
      </c>
      <c r="C1808" t="s">
        <v>1181</v>
      </c>
      <c r="D1808">
        <v>64837</v>
      </c>
      <c r="E1808">
        <v>338</v>
      </c>
    </row>
    <row r="1809" spans="1:5" x14ac:dyDescent="0.25">
      <c r="A1809" t="s">
        <v>1171</v>
      </c>
      <c r="B1809" t="str">
        <f>VLOOKUP(Counties_by_State_Code[[#This Row],[State_Code]],Territory_by_Code[],2)</f>
        <v>New Jersey</v>
      </c>
      <c r="C1809" t="s">
        <v>840</v>
      </c>
      <c r="D1809">
        <v>345361</v>
      </c>
      <c r="E1809">
        <v>305</v>
      </c>
    </row>
    <row r="1810" spans="1:5" x14ac:dyDescent="0.25">
      <c r="A1810" t="s">
        <v>1171</v>
      </c>
      <c r="B1810" t="str">
        <f>VLOOKUP(Counties_by_State_Code[[#This Row],[State_Code]],Territory_by_Code[],2)</f>
        <v>New Jersey</v>
      </c>
      <c r="C1810" t="s">
        <v>313</v>
      </c>
      <c r="D1810">
        <v>144221</v>
      </c>
      <c r="E1810">
        <v>521</v>
      </c>
    </row>
    <row r="1811" spans="1:5" x14ac:dyDescent="0.25">
      <c r="A1811" t="s">
        <v>1171</v>
      </c>
      <c r="B1811" t="str">
        <f>VLOOKUP(Counties_by_State_Code[[#This Row],[State_Code]],Territory_by_Code[],2)</f>
        <v>New Jersey</v>
      </c>
      <c r="C1811" t="s">
        <v>174</v>
      </c>
      <c r="D1811">
        <v>575345</v>
      </c>
      <c r="E1811">
        <v>103</v>
      </c>
    </row>
    <row r="1812" spans="1:5" x14ac:dyDescent="0.25">
      <c r="A1812" t="s">
        <v>1171</v>
      </c>
      <c r="B1812" t="str">
        <f>VLOOKUP(Counties_by_State_Code[[#This Row],[State_Code]],Territory_by_Code[],2)</f>
        <v>New Jersey</v>
      </c>
      <c r="C1812" t="s">
        <v>467</v>
      </c>
      <c r="D1812">
        <v>109632</v>
      </c>
      <c r="E1812">
        <v>358</v>
      </c>
    </row>
    <row r="1813" spans="1:5" x14ac:dyDescent="0.25">
      <c r="A1813" t="s">
        <v>1183</v>
      </c>
      <c r="B1813" t="str">
        <f>VLOOKUP(Counties_by_State_Code[[#This Row],[State_Code]],Territory_by_Code[],2)</f>
        <v>New Mexico</v>
      </c>
      <c r="C1813" t="s">
        <v>1182</v>
      </c>
      <c r="D1813">
        <v>676444</v>
      </c>
      <c r="E1813">
        <v>1166</v>
      </c>
    </row>
    <row r="1814" spans="1:5" x14ac:dyDescent="0.25">
      <c r="A1814" t="s">
        <v>1183</v>
      </c>
      <c r="B1814" t="str">
        <f>VLOOKUP(Counties_by_State_Code[[#This Row],[State_Code]],Territory_by_Code[],2)</f>
        <v>New Mexico</v>
      </c>
      <c r="C1814" t="s">
        <v>1184</v>
      </c>
      <c r="D1814">
        <v>3579</v>
      </c>
      <c r="E1814">
        <v>6928</v>
      </c>
    </row>
    <row r="1815" spans="1:5" x14ac:dyDescent="0.25">
      <c r="A1815" t="s">
        <v>1183</v>
      </c>
      <c r="B1815" t="str">
        <f>VLOOKUP(Counties_by_State_Code[[#This Row],[State_Code]],Territory_by_Code[],2)</f>
        <v>New Mexico</v>
      </c>
      <c r="C1815" t="s">
        <v>1185</v>
      </c>
      <c r="D1815">
        <v>65157</v>
      </c>
      <c r="E1815">
        <v>6071</v>
      </c>
    </row>
    <row r="1816" spans="1:5" x14ac:dyDescent="0.25">
      <c r="A1816" t="s">
        <v>1183</v>
      </c>
      <c r="B1816" t="str">
        <f>VLOOKUP(Counties_by_State_Code[[#This Row],[State_Code]],Territory_by_Code[],2)</f>
        <v>New Mexico</v>
      </c>
      <c r="C1816" t="s">
        <v>1186</v>
      </c>
      <c r="D1816">
        <v>27172</v>
      </c>
      <c r="E1816">
        <v>4540</v>
      </c>
    </row>
    <row r="1817" spans="1:5" x14ac:dyDescent="0.25">
      <c r="A1817" t="s">
        <v>1183</v>
      </c>
      <c r="B1817" t="str">
        <f>VLOOKUP(Counties_by_State_Code[[#This Row],[State_Code]],Territory_by_Code[],2)</f>
        <v>New Mexico</v>
      </c>
      <c r="C1817" t="s">
        <v>1117</v>
      </c>
      <c r="D1817">
        <v>12387</v>
      </c>
      <c r="E1817">
        <v>3757</v>
      </c>
    </row>
    <row r="1818" spans="1:5" x14ac:dyDescent="0.25">
      <c r="A1818" t="s">
        <v>1183</v>
      </c>
      <c r="B1818" t="str">
        <f>VLOOKUP(Counties_by_State_Code[[#This Row],[State_Code]],Territory_by_Code[],2)</f>
        <v>New Mexico</v>
      </c>
      <c r="C1818" t="s">
        <v>1187</v>
      </c>
      <c r="D1818">
        <v>48430</v>
      </c>
      <c r="E1818">
        <v>1406</v>
      </c>
    </row>
    <row r="1819" spans="1:5" x14ac:dyDescent="0.25">
      <c r="A1819" t="s">
        <v>1183</v>
      </c>
      <c r="B1819" t="str">
        <f>VLOOKUP(Counties_by_State_Code[[#This Row],[State_Code]],Territory_by_Code[],2)</f>
        <v>New Mexico</v>
      </c>
      <c r="C1819" t="s">
        <v>1188</v>
      </c>
      <c r="D1819">
        <v>1698</v>
      </c>
      <c r="E1819">
        <v>2325</v>
      </c>
    </row>
    <row r="1820" spans="1:5" x14ac:dyDescent="0.25">
      <c r="A1820" t="s">
        <v>1183</v>
      </c>
      <c r="B1820" t="str">
        <f>VLOOKUP(Counties_by_State_Code[[#This Row],[State_Code]],Territory_by_Code[],2)</f>
        <v>New Mexico</v>
      </c>
      <c r="C1820" t="s">
        <v>1189</v>
      </c>
      <c r="D1820">
        <v>219561</v>
      </c>
      <c r="E1820">
        <v>3807</v>
      </c>
    </row>
    <row r="1821" spans="1:5" x14ac:dyDescent="0.25">
      <c r="A1821" t="s">
        <v>1183</v>
      </c>
      <c r="B1821" t="str">
        <f>VLOOKUP(Counties_by_State_Code[[#This Row],[State_Code]],Territory_by_Code[],2)</f>
        <v>New Mexico</v>
      </c>
      <c r="C1821" t="s">
        <v>1190</v>
      </c>
      <c r="D1821">
        <v>62314</v>
      </c>
      <c r="E1821">
        <v>4182</v>
      </c>
    </row>
    <row r="1822" spans="1:5" x14ac:dyDescent="0.25">
      <c r="A1822" t="s">
        <v>1183</v>
      </c>
      <c r="B1822" t="str">
        <f>VLOOKUP(Counties_by_State_Code[[#This Row],[State_Code]],Territory_by_Code[],2)</f>
        <v>New Mexico</v>
      </c>
      <c r="C1822" t="s">
        <v>143</v>
      </c>
      <c r="D1822">
        <v>28185</v>
      </c>
      <c r="E1822">
        <v>3966</v>
      </c>
    </row>
    <row r="1823" spans="1:5" x14ac:dyDescent="0.25">
      <c r="A1823" t="s">
        <v>1183</v>
      </c>
      <c r="B1823" t="str">
        <f>VLOOKUP(Counties_by_State_Code[[#This Row],[State_Code]],Territory_by_Code[],2)</f>
        <v>New Mexico</v>
      </c>
      <c r="C1823" t="s">
        <v>1191</v>
      </c>
      <c r="D1823">
        <v>4452</v>
      </c>
      <c r="E1823">
        <v>3031</v>
      </c>
    </row>
    <row r="1824" spans="1:5" x14ac:dyDescent="0.25">
      <c r="A1824" t="s">
        <v>1183</v>
      </c>
      <c r="B1824" t="str">
        <f>VLOOKUP(Counties_by_State_Code[[#This Row],[State_Code]],Territory_by_Code[],2)</f>
        <v>New Mexico</v>
      </c>
      <c r="C1824" t="s">
        <v>1192</v>
      </c>
      <c r="D1824">
        <v>657</v>
      </c>
      <c r="E1824">
        <v>2126</v>
      </c>
    </row>
    <row r="1825" spans="1:5" x14ac:dyDescent="0.25">
      <c r="A1825" t="s">
        <v>1183</v>
      </c>
      <c r="B1825" t="str">
        <f>VLOOKUP(Counties_by_State_Code[[#This Row],[State_Code]],Territory_by_Code[],2)</f>
        <v>New Mexico</v>
      </c>
      <c r="C1825" t="s">
        <v>1193</v>
      </c>
      <c r="D1825">
        <v>4178</v>
      </c>
      <c r="E1825">
        <v>3446</v>
      </c>
    </row>
    <row r="1826" spans="1:5" x14ac:dyDescent="0.25">
      <c r="A1826" t="s">
        <v>1183</v>
      </c>
      <c r="B1826" t="str">
        <f>VLOOKUP(Counties_by_State_Code[[#This Row],[State_Code]],Territory_by_Code[],2)</f>
        <v>New Mexico</v>
      </c>
      <c r="C1826" t="s">
        <v>1194</v>
      </c>
      <c r="D1826">
        <v>74455</v>
      </c>
      <c r="E1826">
        <v>4393</v>
      </c>
    </row>
    <row r="1827" spans="1:5" x14ac:dyDescent="0.25">
      <c r="A1827" t="s">
        <v>1183</v>
      </c>
      <c r="B1827" t="str">
        <f>VLOOKUP(Counties_by_State_Code[[#This Row],[State_Code]],Territory_by_Code[],2)</f>
        <v>New Mexico</v>
      </c>
      <c r="C1827" t="s">
        <v>151</v>
      </c>
      <c r="D1827">
        <v>20269</v>
      </c>
      <c r="E1827">
        <v>4831</v>
      </c>
    </row>
    <row r="1828" spans="1:5" x14ac:dyDescent="0.25">
      <c r="A1828" t="s">
        <v>1183</v>
      </c>
      <c r="B1828" t="str">
        <f>VLOOKUP(Counties_by_State_Code[[#This Row],[State_Code]],Territory_by_Code[],2)</f>
        <v>New Mexico</v>
      </c>
      <c r="C1828" t="s">
        <v>1195</v>
      </c>
      <c r="D1828">
        <v>19419</v>
      </c>
      <c r="E1828">
        <v>109</v>
      </c>
    </row>
    <row r="1829" spans="1:5" x14ac:dyDescent="0.25">
      <c r="A1829" t="s">
        <v>1183</v>
      </c>
      <c r="B1829" t="str">
        <f>VLOOKUP(Counties_by_State_Code[[#This Row],[State_Code]],Territory_by_Code[],2)</f>
        <v>New Mexico</v>
      </c>
      <c r="C1829" t="s">
        <v>1196</v>
      </c>
      <c r="D1829">
        <v>25427</v>
      </c>
      <c r="E1829">
        <v>2965</v>
      </c>
    </row>
    <row r="1830" spans="1:5" x14ac:dyDescent="0.25">
      <c r="A1830" t="s">
        <v>1183</v>
      </c>
      <c r="B1830" t="str">
        <f>VLOOKUP(Counties_by_State_Code[[#This Row],[State_Code]],Territory_by_Code[],2)</f>
        <v>New Mexico</v>
      </c>
      <c r="C1830" t="s">
        <v>1197</v>
      </c>
      <c r="D1830">
        <v>72902</v>
      </c>
      <c r="E1830">
        <v>5449</v>
      </c>
    </row>
    <row r="1831" spans="1:5" x14ac:dyDescent="0.25">
      <c r="A1831" t="s">
        <v>1183</v>
      </c>
      <c r="B1831" t="str">
        <f>VLOOKUP(Counties_by_State_Code[[#This Row],[State_Code]],Territory_by_Code[],2)</f>
        <v>New Mexico</v>
      </c>
      <c r="C1831" t="s">
        <v>1198</v>
      </c>
      <c r="D1831">
        <v>4189</v>
      </c>
      <c r="E1831">
        <v>1931</v>
      </c>
    </row>
    <row r="1832" spans="1:5" x14ac:dyDescent="0.25">
      <c r="A1832" t="s">
        <v>1183</v>
      </c>
      <c r="B1832" t="str">
        <f>VLOOKUP(Counties_by_State_Code[[#This Row],[State_Code]],Territory_by_Code[],2)</f>
        <v>New Mexico</v>
      </c>
      <c r="C1832" t="s">
        <v>276</v>
      </c>
      <c r="D1832">
        <v>67839</v>
      </c>
      <c r="E1832">
        <v>6627</v>
      </c>
    </row>
    <row r="1833" spans="1:5" x14ac:dyDescent="0.25">
      <c r="A1833" t="s">
        <v>1183</v>
      </c>
      <c r="B1833" t="str">
        <f>VLOOKUP(Counties_by_State_Code[[#This Row],[State_Code]],Territory_by_Code[],2)</f>
        <v>New Mexico</v>
      </c>
      <c r="C1833" t="s">
        <v>1199</v>
      </c>
      <c r="D1833">
        <v>8746</v>
      </c>
      <c r="E1833">
        <v>2855</v>
      </c>
    </row>
    <row r="1834" spans="1:5" x14ac:dyDescent="0.25">
      <c r="A1834" t="s">
        <v>1183</v>
      </c>
      <c r="B1834" t="str">
        <f>VLOOKUP(Counties_by_State_Code[[#This Row],[State_Code]],Territory_by_Code[],2)</f>
        <v>New Mexico</v>
      </c>
      <c r="C1834" t="s">
        <v>1200</v>
      </c>
      <c r="D1834">
        <v>40363</v>
      </c>
      <c r="E1834">
        <v>5858</v>
      </c>
    </row>
    <row r="1835" spans="1:5" x14ac:dyDescent="0.25">
      <c r="A1835" t="s">
        <v>1183</v>
      </c>
      <c r="B1835" t="str">
        <f>VLOOKUP(Counties_by_State_Code[[#This Row],[State_Code]],Territory_by_Code[],2)</f>
        <v>New Mexico</v>
      </c>
      <c r="C1835" t="s">
        <v>1098</v>
      </c>
      <c r="D1835">
        <v>19191</v>
      </c>
      <c r="E1835">
        <v>2449</v>
      </c>
    </row>
    <row r="1836" spans="1:5" x14ac:dyDescent="0.25">
      <c r="A1836" t="s">
        <v>1183</v>
      </c>
      <c r="B1836" t="str">
        <f>VLOOKUP(Counties_by_State_Code[[#This Row],[State_Code]],Territory_by_Code[],2)</f>
        <v>New Mexico</v>
      </c>
      <c r="C1836" t="s">
        <v>286</v>
      </c>
      <c r="D1836">
        <v>121661</v>
      </c>
      <c r="E1836">
        <v>5514</v>
      </c>
    </row>
    <row r="1837" spans="1:5" x14ac:dyDescent="0.25">
      <c r="A1837" t="s">
        <v>1183</v>
      </c>
      <c r="B1837" t="str">
        <f>VLOOKUP(Counties_by_State_Code[[#This Row],[State_Code]],Territory_by_Code[],2)</f>
        <v>New Mexico</v>
      </c>
      <c r="C1837" t="s">
        <v>287</v>
      </c>
      <c r="D1837">
        <v>27201</v>
      </c>
      <c r="E1837">
        <v>4717</v>
      </c>
    </row>
    <row r="1838" spans="1:5" x14ac:dyDescent="0.25">
      <c r="A1838" t="s">
        <v>1183</v>
      </c>
      <c r="B1838" t="str">
        <f>VLOOKUP(Counties_by_State_Code[[#This Row],[State_Code]],Territory_by_Code[],2)</f>
        <v>New Mexico</v>
      </c>
      <c r="C1838" t="s">
        <v>1201</v>
      </c>
      <c r="D1838">
        <v>148834</v>
      </c>
      <c r="E1838">
        <v>3710</v>
      </c>
    </row>
    <row r="1839" spans="1:5" x14ac:dyDescent="0.25">
      <c r="A1839" t="s">
        <v>1183</v>
      </c>
      <c r="B1839" t="str">
        <f>VLOOKUP(Counties_by_State_Code[[#This Row],[State_Code]],Territory_by_Code[],2)</f>
        <v>New Mexico</v>
      </c>
      <c r="C1839" t="s">
        <v>1202</v>
      </c>
      <c r="D1839">
        <v>154823</v>
      </c>
      <c r="E1839">
        <v>1909</v>
      </c>
    </row>
    <row r="1840" spans="1:5" x14ac:dyDescent="0.25">
      <c r="A1840" t="s">
        <v>1183</v>
      </c>
      <c r="B1840" t="str">
        <f>VLOOKUP(Counties_by_State_Code[[#This Row],[State_Code]],Territory_by_Code[],2)</f>
        <v>New Mexico</v>
      </c>
      <c r="C1840" t="s">
        <v>223</v>
      </c>
      <c r="D1840">
        <v>11576</v>
      </c>
      <c r="E1840">
        <v>4180</v>
      </c>
    </row>
    <row r="1841" spans="1:5" x14ac:dyDescent="0.25">
      <c r="A1841" t="s">
        <v>1183</v>
      </c>
      <c r="B1841" t="str">
        <f>VLOOKUP(Counties_by_State_Code[[#This Row],[State_Code]],Territory_by_Code[],2)</f>
        <v>New Mexico</v>
      </c>
      <c r="C1841" t="s">
        <v>1203</v>
      </c>
      <c r="D1841">
        <v>16595</v>
      </c>
      <c r="E1841">
        <v>6647</v>
      </c>
    </row>
    <row r="1842" spans="1:5" x14ac:dyDescent="0.25">
      <c r="A1842" t="s">
        <v>1183</v>
      </c>
      <c r="B1842" t="str">
        <f>VLOOKUP(Counties_by_State_Code[[#This Row],[State_Code]],Territory_by_Code[],2)</f>
        <v>New Mexico</v>
      </c>
      <c r="C1842" t="s">
        <v>1204</v>
      </c>
      <c r="D1842">
        <v>34489</v>
      </c>
      <c r="E1842">
        <v>2203</v>
      </c>
    </row>
    <row r="1843" spans="1:5" x14ac:dyDescent="0.25">
      <c r="A1843" t="s">
        <v>1183</v>
      </c>
      <c r="B1843" t="str">
        <f>VLOOKUP(Counties_by_State_Code[[#This Row],[State_Code]],Territory_by_Code[],2)</f>
        <v>New Mexico</v>
      </c>
      <c r="C1843" t="s">
        <v>1205</v>
      </c>
      <c r="D1843">
        <v>15045</v>
      </c>
      <c r="E1843">
        <v>3345</v>
      </c>
    </row>
    <row r="1844" spans="1:5" x14ac:dyDescent="0.25">
      <c r="A1844" t="s">
        <v>1183</v>
      </c>
      <c r="B1844" t="str">
        <f>VLOOKUP(Counties_by_State_Code[[#This Row],[State_Code]],Territory_by_Code[],2)</f>
        <v>New Mexico</v>
      </c>
      <c r="C1844" t="s">
        <v>174</v>
      </c>
      <c r="D1844">
        <v>4079</v>
      </c>
      <c r="E1844">
        <v>3830</v>
      </c>
    </row>
    <row r="1845" spans="1:5" x14ac:dyDescent="0.25">
      <c r="A1845" t="s">
        <v>1183</v>
      </c>
      <c r="B1845" t="str">
        <f>VLOOKUP(Counties_by_State_Code[[#This Row],[State_Code]],Territory_by_Code[],2)</f>
        <v>New Mexico</v>
      </c>
      <c r="C1845" t="s">
        <v>1206</v>
      </c>
      <c r="D1845">
        <v>76205</v>
      </c>
      <c r="E1845">
        <v>1068</v>
      </c>
    </row>
    <row r="1846" spans="1:5" x14ac:dyDescent="0.25">
      <c r="A1846" t="s">
        <v>1208</v>
      </c>
      <c r="B1846" t="str">
        <f>VLOOKUP(Counties_by_State_Code[[#This Row],[State_Code]],Territory_by_Code[],2)</f>
        <v>New York</v>
      </c>
      <c r="C1846" t="s">
        <v>1207</v>
      </c>
      <c r="D1846">
        <v>314848</v>
      </c>
      <c r="E1846">
        <v>533</v>
      </c>
    </row>
    <row r="1847" spans="1:5" x14ac:dyDescent="0.25">
      <c r="A1847" t="s">
        <v>1208</v>
      </c>
      <c r="B1847" t="str">
        <f>VLOOKUP(Counties_by_State_Code[[#This Row],[State_Code]],Territory_by_Code[],2)</f>
        <v>New York</v>
      </c>
      <c r="C1847" t="s">
        <v>843</v>
      </c>
      <c r="D1847">
        <v>46456</v>
      </c>
      <c r="E1847">
        <v>1034</v>
      </c>
    </row>
    <row r="1848" spans="1:5" x14ac:dyDescent="0.25">
      <c r="A1848" t="s">
        <v>1208</v>
      </c>
      <c r="B1848" t="str">
        <f>VLOOKUP(Counties_by_State_Code[[#This Row],[State_Code]],Territory_by_Code[],2)</f>
        <v>New York</v>
      </c>
      <c r="C1848" t="s">
        <v>1209</v>
      </c>
      <c r="D1848">
        <v>1472654</v>
      </c>
      <c r="E1848">
        <v>57.43</v>
      </c>
    </row>
    <row r="1849" spans="1:5" x14ac:dyDescent="0.25">
      <c r="A1849" t="s">
        <v>1208</v>
      </c>
      <c r="B1849" t="str">
        <f>VLOOKUP(Counties_by_State_Code[[#This Row],[State_Code]],Territory_by_Code[],2)</f>
        <v>New York</v>
      </c>
      <c r="C1849" t="s">
        <v>1210</v>
      </c>
      <c r="D1849">
        <v>198683</v>
      </c>
      <c r="E1849">
        <v>715</v>
      </c>
    </row>
    <row r="1850" spans="1:5" x14ac:dyDescent="0.25">
      <c r="A1850" t="s">
        <v>1208</v>
      </c>
      <c r="B1850" t="str">
        <f>VLOOKUP(Counties_by_State_Code[[#This Row],[State_Code]],Territory_by_Code[],2)</f>
        <v>New York</v>
      </c>
      <c r="C1850" t="s">
        <v>1211</v>
      </c>
      <c r="D1850">
        <v>77042</v>
      </c>
      <c r="E1850">
        <v>1310</v>
      </c>
    </row>
    <row r="1851" spans="1:5" x14ac:dyDescent="0.25">
      <c r="A1851" t="s">
        <v>1208</v>
      </c>
      <c r="B1851" t="str">
        <f>VLOOKUP(Counties_by_State_Code[[#This Row],[State_Code]],Territory_by_Code[],2)</f>
        <v>New York</v>
      </c>
      <c r="C1851" t="s">
        <v>1212</v>
      </c>
      <c r="D1851">
        <v>76248</v>
      </c>
      <c r="E1851">
        <v>864</v>
      </c>
    </row>
    <row r="1852" spans="1:5" x14ac:dyDescent="0.25">
      <c r="A1852" t="s">
        <v>1208</v>
      </c>
      <c r="B1852" t="str">
        <f>VLOOKUP(Counties_by_State_Code[[#This Row],[State_Code]],Territory_by_Code[],2)</f>
        <v>New York</v>
      </c>
      <c r="C1852" t="s">
        <v>667</v>
      </c>
      <c r="D1852">
        <v>127657</v>
      </c>
      <c r="E1852">
        <v>1500</v>
      </c>
    </row>
    <row r="1853" spans="1:5" x14ac:dyDescent="0.25">
      <c r="A1853" t="s">
        <v>1208</v>
      </c>
      <c r="B1853" t="str">
        <f>VLOOKUP(Counties_by_State_Code[[#This Row],[State_Code]],Territory_by_Code[],2)</f>
        <v>New York</v>
      </c>
      <c r="C1853" t="s">
        <v>1213</v>
      </c>
      <c r="D1853">
        <v>84148</v>
      </c>
      <c r="E1853">
        <v>410.81</v>
      </c>
    </row>
    <row r="1854" spans="1:5" x14ac:dyDescent="0.25">
      <c r="A1854" t="s">
        <v>1208</v>
      </c>
      <c r="B1854" t="str">
        <f>VLOOKUP(Counties_by_State_Code[[#This Row],[State_Code]],Territory_by_Code[],2)</f>
        <v>New York</v>
      </c>
      <c r="C1854" t="s">
        <v>1214</v>
      </c>
      <c r="D1854">
        <v>47220</v>
      </c>
      <c r="E1854">
        <v>898.95</v>
      </c>
    </row>
    <row r="1855" spans="1:5" x14ac:dyDescent="0.25">
      <c r="A1855" t="s">
        <v>1208</v>
      </c>
      <c r="B1855" t="str">
        <f>VLOOKUP(Counties_by_State_Code[[#This Row],[State_Code]],Territory_by_Code[],2)</f>
        <v>New York</v>
      </c>
      <c r="C1855" t="s">
        <v>525</v>
      </c>
      <c r="D1855">
        <v>79843</v>
      </c>
      <c r="E1855">
        <v>1118</v>
      </c>
    </row>
    <row r="1856" spans="1:5" x14ac:dyDescent="0.25">
      <c r="A1856" t="s">
        <v>1208</v>
      </c>
      <c r="B1856" t="str">
        <f>VLOOKUP(Counties_by_State_Code[[#This Row],[State_Code]],Territory_by_Code[],2)</f>
        <v>New York</v>
      </c>
      <c r="C1856" t="s">
        <v>132</v>
      </c>
      <c r="D1856">
        <v>61570</v>
      </c>
      <c r="E1856">
        <v>648</v>
      </c>
    </row>
    <row r="1857" spans="1:5" x14ac:dyDescent="0.25">
      <c r="A1857" t="s">
        <v>1208</v>
      </c>
      <c r="B1857" t="str">
        <f>VLOOKUP(Counties_by_State_Code[[#This Row],[State_Code]],Territory_by_Code[],2)</f>
        <v>New York</v>
      </c>
      <c r="C1857" t="s">
        <v>1215</v>
      </c>
      <c r="D1857">
        <v>46809</v>
      </c>
      <c r="E1857">
        <v>502</v>
      </c>
    </row>
    <row r="1858" spans="1:5" x14ac:dyDescent="0.25">
      <c r="A1858" t="s">
        <v>1208</v>
      </c>
      <c r="B1858" t="str">
        <f>VLOOKUP(Counties_by_State_Code[[#This Row],[State_Code]],Territory_by_Code[],2)</f>
        <v>New York</v>
      </c>
      <c r="C1858" t="s">
        <v>578</v>
      </c>
      <c r="D1858">
        <v>44308</v>
      </c>
      <c r="E1858">
        <v>1468</v>
      </c>
    </row>
    <row r="1859" spans="1:5" x14ac:dyDescent="0.25">
      <c r="A1859" t="s">
        <v>1208</v>
      </c>
      <c r="B1859" t="str">
        <f>VLOOKUP(Counties_by_State_Code[[#This Row],[State_Code]],Territory_by_Code[],2)</f>
        <v>New York</v>
      </c>
      <c r="C1859" t="s">
        <v>1216</v>
      </c>
      <c r="D1859">
        <v>295911</v>
      </c>
      <c r="E1859">
        <v>825</v>
      </c>
    </row>
    <row r="1860" spans="1:5" x14ac:dyDescent="0.25">
      <c r="A1860" t="s">
        <v>1208</v>
      </c>
      <c r="B1860" t="str">
        <f>VLOOKUP(Counties_by_State_Code[[#This Row],[State_Code]],Territory_by_Code[],2)</f>
        <v>New York</v>
      </c>
      <c r="C1860" t="s">
        <v>1217</v>
      </c>
      <c r="D1860">
        <v>954236</v>
      </c>
      <c r="E1860">
        <v>1227</v>
      </c>
    </row>
    <row r="1861" spans="1:5" x14ac:dyDescent="0.25">
      <c r="A1861" t="s">
        <v>1208</v>
      </c>
      <c r="B1861" t="str">
        <f>VLOOKUP(Counties_by_State_Code[[#This Row],[State_Code]],Territory_by_Code[],2)</f>
        <v>New York</v>
      </c>
      <c r="C1861" t="s">
        <v>866</v>
      </c>
      <c r="D1861">
        <v>37381</v>
      </c>
      <c r="E1861">
        <v>1916</v>
      </c>
    </row>
    <row r="1862" spans="1:5" x14ac:dyDescent="0.25">
      <c r="A1862" t="s">
        <v>1208</v>
      </c>
      <c r="B1862" t="str">
        <f>VLOOKUP(Counties_by_State_Code[[#This Row],[State_Code]],Territory_by_Code[],2)</f>
        <v>New York</v>
      </c>
      <c r="C1862" t="s">
        <v>30</v>
      </c>
      <c r="D1862">
        <v>47555</v>
      </c>
      <c r="E1862">
        <v>1697</v>
      </c>
    </row>
    <row r="1863" spans="1:5" x14ac:dyDescent="0.25">
      <c r="A1863" t="s">
        <v>1208</v>
      </c>
      <c r="B1863" t="str">
        <f>VLOOKUP(Counties_by_State_Code[[#This Row],[State_Code]],Territory_by_Code[],2)</f>
        <v>New York</v>
      </c>
      <c r="C1863" t="s">
        <v>141</v>
      </c>
      <c r="D1863">
        <v>53324</v>
      </c>
      <c r="E1863">
        <v>533</v>
      </c>
    </row>
    <row r="1864" spans="1:5" x14ac:dyDescent="0.25">
      <c r="A1864" t="s">
        <v>1208</v>
      </c>
      <c r="B1864" t="str">
        <f>VLOOKUP(Counties_by_State_Code[[#This Row],[State_Code]],Territory_by_Code[],2)</f>
        <v>New York</v>
      </c>
      <c r="C1864" t="s">
        <v>888</v>
      </c>
      <c r="D1864">
        <v>58388</v>
      </c>
      <c r="E1864">
        <v>495</v>
      </c>
    </row>
    <row r="1865" spans="1:5" x14ac:dyDescent="0.25">
      <c r="A1865" t="s">
        <v>1208</v>
      </c>
      <c r="B1865" t="str">
        <f>VLOOKUP(Counties_by_State_Code[[#This Row],[State_Code]],Territory_by_Code[],2)</f>
        <v>New York</v>
      </c>
      <c r="C1865" t="s">
        <v>32</v>
      </c>
      <c r="D1865">
        <v>47931</v>
      </c>
      <c r="E1865">
        <v>658</v>
      </c>
    </row>
    <row r="1866" spans="1:5" x14ac:dyDescent="0.25">
      <c r="A1866" t="s">
        <v>1208</v>
      </c>
      <c r="B1866" t="str">
        <f>VLOOKUP(Counties_by_State_Code[[#This Row],[State_Code]],Territory_by_Code[],2)</f>
        <v>New York</v>
      </c>
      <c r="C1866" t="s">
        <v>334</v>
      </c>
      <c r="D1866">
        <v>5107</v>
      </c>
      <c r="E1866">
        <v>1808</v>
      </c>
    </row>
    <row r="1867" spans="1:5" x14ac:dyDescent="0.25">
      <c r="A1867" t="s">
        <v>1208</v>
      </c>
      <c r="B1867" t="str">
        <f>VLOOKUP(Counties_by_State_Code[[#This Row],[State_Code]],Territory_by_Code[],2)</f>
        <v>New York</v>
      </c>
      <c r="C1867" t="s">
        <v>1218</v>
      </c>
      <c r="D1867">
        <v>60139</v>
      </c>
      <c r="E1867">
        <v>1458</v>
      </c>
    </row>
    <row r="1868" spans="1:5" x14ac:dyDescent="0.25">
      <c r="A1868" t="s">
        <v>1208</v>
      </c>
      <c r="B1868" t="str">
        <f>VLOOKUP(Counties_by_State_Code[[#This Row],[State_Code]],Territory_by_Code[],2)</f>
        <v>New York</v>
      </c>
      <c r="C1868" t="s">
        <v>37</v>
      </c>
      <c r="D1868">
        <v>116721</v>
      </c>
      <c r="E1868">
        <v>1857</v>
      </c>
    </row>
    <row r="1869" spans="1:5" x14ac:dyDescent="0.25">
      <c r="A1869" t="s">
        <v>1208</v>
      </c>
      <c r="B1869" t="str">
        <f>VLOOKUP(Counties_by_State_Code[[#This Row],[State_Code]],Territory_by_Code[],2)</f>
        <v>New York</v>
      </c>
      <c r="C1869" t="s">
        <v>195</v>
      </c>
      <c r="D1869">
        <v>2736074</v>
      </c>
      <c r="E1869">
        <v>96.9</v>
      </c>
    </row>
    <row r="1870" spans="1:5" x14ac:dyDescent="0.25">
      <c r="A1870" t="s">
        <v>1208</v>
      </c>
      <c r="B1870" t="str">
        <f>VLOOKUP(Counties_by_State_Code[[#This Row],[State_Code]],Territory_by_Code[],2)</f>
        <v>New York</v>
      </c>
      <c r="C1870" t="s">
        <v>506</v>
      </c>
      <c r="D1870">
        <v>26582</v>
      </c>
      <c r="E1870">
        <v>1290</v>
      </c>
    </row>
    <row r="1871" spans="1:5" x14ac:dyDescent="0.25">
      <c r="A1871" t="s">
        <v>1208</v>
      </c>
      <c r="B1871" t="str">
        <f>VLOOKUP(Counties_by_State_Code[[#This Row],[State_Code]],Territory_by_Code[],2)</f>
        <v>New York</v>
      </c>
      <c r="C1871" t="s">
        <v>545</v>
      </c>
      <c r="D1871">
        <v>61834</v>
      </c>
      <c r="E1871">
        <v>640</v>
      </c>
    </row>
    <row r="1872" spans="1:5" x14ac:dyDescent="0.25">
      <c r="A1872" t="s">
        <v>1208</v>
      </c>
      <c r="B1872" t="str">
        <f>VLOOKUP(Counties_by_State_Code[[#This Row],[State_Code]],Territory_by_Code[],2)</f>
        <v>New York</v>
      </c>
      <c r="C1872" t="s">
        <v>45</v>
      </c>
      <c r="D1872">
        <v>68016</v>
      </c>
      <c r="E1872">
        <v>662</v>
      </c>
    </row>
    <row r="1873" spans="1:5" x14ac:dyDescent="0.25">
      <c r="A1873" t="s">
        <v>1208</v>
      </c>
      <c r="B1873" t="str">
        <f>VLOOKUP(Counties_by_State_Code[[#This Row],[State_Code]],Territory_by_Code[],2)</f>
        <v>New York</v>
      </c>
      <c r="C1873" t="s">
        <v>50</v>
      </c>
      <c r="D1873">
        <v>759443</v>
      </c>
      <c r="E1873">
        <v>1366</v>
      </c>
    </row>
    <row r="1874" spans="1:5" x14ac:dyDescent="0.25">
      <c r="A1874" t="s">
        <v>1208</v>
      </c>
      <c r="B1874" t="str">
        <f>VLOOKUP(Counties_by_State_Code[[#This Row],[State_Code]],Territory_by_Code[],2)</f>
        <v>New York</v>
      </c>
      <c r="C1874" t="s">
        <v>51</v>
      </c>
      <c r="D1874">
        <v>49532</v>
      </c>
      <c r="E1874">
        <v>410</v>
      </c>
    </row>
    <row r="1875" spans="1:5" x14ac:dyDescent="0.25">
      <c r="A1875" t="s">
        <v>1208</v>
      </c>
      <c r="B1875" t="str">
        <f>VLOOKUP(Counties_by_State_Code[[#This Row],[State_Code]],Territory_by_Code[],2)</f>
        <v>New York</v>
      </c>
      <c r="C1875" t="s">
        <v>348</v>
      </c>
      <c r="D1875">
        <v>1395774</v>
      </c>
      <c r="E1875">
        <v>453</v>
      </c>
    </row>
    <row r="1876" spans="1:5" x14ac:dyDescent="0.25">
      <c r="A1876" t="s">
        <v>1208</v>
      </c>
      <c r="B1876" t="str">
        <f>VLOOKUP(Counties_by_State_Code[[#This Row],[State_Code]],Territory_by_Code[],2)</f>
        <v>New York</v>
      </c>
      <c r="C1876" t="s">
        <v>1219</v>
      </c>
      <c r="D1876">
        <v>1694251</v>
      </c>
      <c r="E1876">
        <v>33.770000000000003</v>
      </c>
    </row>
    <row r="1877" spans="1:5" x14ac:dyDescent="0.25">
      <c r="A1877" t="s">
        <v>1208</v>
      </c>
      <c r="B1877" t="str">
        <f>VLOOKUP(Counties_by_State_Code[[#This Row],[State_Code]],Territory_by_Code[],2)</f>
        <v>New York</v>
      </c>
      <c r="C1877" t="s">
        <v>1220</v>
      </c>
      <c r="D1877">
        <v>212666</v>
      </c>
      <c r="E1877">
        <v>1140</v>
      </c>
    </row>
    <row r="1878" spans="1:5" x14ac:dyDescent="0.25">
      <c r="A1878" t="s">
        <v>1208</v>
      </c>
      <c r="B1878" t="str">
        <f>VLOOKUP(Counties_by_State_Code[[#This Row],[State_Code]],Territory_by_Code[],2)</f>
        <v>New York</v>
      </c>
      <c r="C1878" t="s">
        <v>509</v>
      </c>
      <c r="D1878">
        <v>232125</v>
      </c>
      <c r="E1878">
        <v>1213</v>
      </c>
    </row>
    <row r="1879" spans="1:5" x14ac:dyDescent="0.25">
      <c r="A1879" t="s">
        <v>1208</v>
      </c>
      <c r="B1879" t="str">
        <f>VLOOKUP(Counties_by_State_Code[[#This Row],[State_Code]],Territory_by_Code[],2)</f>
        <v>New York</v>
      </c>
      <c r="C1879" t="s">
        <v>1221</v>
      </c>
      <c r="D1879">
        <v>476516</v>
      </c>
      <c r="E1879">
        <v>806</v>
      </c>
    </row>
    <row r="1880" spans="1:5" x14ac:dyDescent="0.25">
      <c r="A1880" t="s">
        <v>1208</v>
      </c>
      <c r="B1880" t="str">
        <f>VLOOKUP(Counties_by_State_Code[[#This Row],[State_Code]],Territory_by_Code[],2)</f>
        <v>New York</v>
      </c>
      <c r="C1880" t="s">
        <v>1222</v>
      </c>
      <c r="D1880">
        <v>112458</v>
      </c>
      <c r="E1880">
        <v>662</v>
      </c>
    </row>
    <row r="1881" spans="1:5" x14ac:dyDescent="0.25">
      <c r="A1881" t="s">
        <v>1208</v>
      </c>
      <c r="B1881" t="str">
        <f>VLOOKUP(Counties_by_State_Code[[#This Row],[State_Code]],Territory_by_Code[],2)</f>
        <v>New York</v>
      </c>
      <c r="C1881" t="s">
        <v>208</v>
      </c>
      <c r="D1881">
        <v>401310</v>
      </c>
      <c r="E1881">
        <v>839</v>
      </c>
    </row>
    <row r="1882" spans="1:5" x14ac:dyDescent="0.25">
      <c r="A1882" t="s">
        <v>1208</v>
      </c>
      <c r="B1882" t="str">
        <f>VLOOKUP(Counties_by_State_Code[[#This Row],[State_Code]],Territory_by_Code[],2)</f>
        <v>New York</v>
      </c>
      <c r="C1882" t="s">
        <v>809</v>
      </c>
      <c r="D1882">
        <v>40343</v>
      </c>
      <c r="E1882">
        <v>817</v>
      </c>
    </row>
    <row r="1883" spans="1:5" x14ac:dyDescent="0.25">
      <c r="A1883" t="s">
        <v>1208</v>
      </c>
      <c r="B1883" t="str">
        <f>VLOOKUP(Counties_by_State_Code[[#This Row],[State_Code]],Territory_by_Code[],2)</f>
        <v>New York</v>
      </c>
      <c r="C1883" t="s">
        <v>1223</v>
      </c>
      <c r="D1883">
        <v>117525</v>
      </c>
      <c r="E1883">
        <v>1312</v>
      </c>
    </row>
    <row r="1884" spans="1:5" x14ac:dyDescent="0.25">
      <c r="A1884" t="s">
        <v>1208</v>
      </c>
      <c r="B1884" t="str">
        <f>VLOOKUP(Counties_by_State_Code[[#This Row],[State_Code]],Territory_by_Code[],2)</f>
        <v>New York</v>
      </c>
      <c r="C1884" t="s">
        <v>925</v>
      </c>
      <c r="D1884">
        <v>58524</v>
      </c>
      <c r="E1884">
        <v>1003</v>
      </c>
    </row>
    <row r="1885" spans="1:5" x14ac:dyDescent="0.25">
      <c r="A1885" t="s">
        <v>1208</v>
      </c>
      <c r="B1885" t="str">
        <f>VLOOKUP(Counties_by_State_Code[[#This Row],[State_Code]],Territory_by_Code[],2)</f>
        <v>New York</v>
      </c>
      <c r="C1885" t="s">
        <v>355</v>
      </c>
      <c r="D1885">
        <v>97668</v>
      </c>
      <c r="E1885">
        <v>246</v>
      </c>
    </row>
    <row r="1886" spans="1:5" x14ac:dyDescent="0.25">
      <c r="A1886" t="s">
        <v>1208</v>
      </c>
      <c r="B1886" t="str">
        <f>VLOOKUP(Counties_by_State_Code[[#This Row],[State_Code]],Territory_by_Code[],2)</f>
        <v>New York</v>
      </c>
      <c r="C1886" t="s">
        <v>1224</v>
      </c>
      <c r="D1886">
        <v>2405464</v>
      </c>
      <c r="E1886">
        <v>178.28</v>
      </c>
    </row>
    <row r="1887" spans="1:5" x14ac:dyDescent="0.25">
      <c r="A1887" t="s">
        <v>1208</v>
      </c>
      <c r="B1887" t="str">
        <f>VLOOKUP(Counties_by_State_Code[[#This Row],[State_Code]],Territory_by_Code[],2)</f>
        <v>New York</v>
      </c>
      <c r="C1887" t="s">
        <v>1225</v>
      </c>
      <c r="D1887">
        <v>161130</v>
      </c>
      <c r="E1887">
        <v>665</v>
      </c>
    </row>
    <row r="1888" spans="1:5" x14ac:dyDescent="0.25">
      <c r="A1888" t="s">
        <v>1208</v>
      </c>
      <c r="B1888" t="str">
        <f>VLOOKUP(Counties_by_State_Code[[#This Row],[State_Code]],Territory_by_Code[],2)</f>
        <v>New York</v>
      </c>
      <c r="C1888" t="s">
        <v>445</v>
      </c>
      <c r="D1888">
        <v>495747</v>
      </c>
      <c r="E1888">
        <v>102.5</v>
      </c>
    </row>
    <row r="1889" spans="1:5" x14ac:dyDescent="0.25">
      <c r="A1889" t="s">
        <v>1208</v>
      </c>
      <c r="B1889" t="str">
        <f>VLOOKUP(Counties_by_State_Code[[#This Row],[State_Code]],Territory_by_Code[],2)</f>
        <v>New York</v>
      </c>
      <c r="C1889" t="s">
        <v>1226</v>
      </c>
      <c r="D1889">
        <v>338329</v>
      </c>
      <c r="E1889">
        <v>199</v>
      </c>
    </row>
    <row r="1890" spans="1:5" x14ac:dyDescent="0.25">
      <c r="A1890" t="s">
        <v>1208</v>
      </c>
      <c r="B1890" t="str">
        <f>VLOOKUP(Counties_by_State_Code[[#This Row],[State_Code]],Territory_by_Code[],2)</f>
        <v>New York</v>
      </c>
      <c r="C1890" t="s">
        <v>1227</v>
      </c>
      <c r="D1890">
        <v>108505</v>
      </c>
      <c r="E1890">
        <v>2821</v>
      </c>
    </row>
    <row r="1891" spans="1:5" x14ac:dyDescent="0.25">
      <c r="A1891" t="s">
        <v>1208</v>
      </c>
      <c r="B1891" t="str">
        <f>VLOOKUP(Counties_by_State_Code[[#This Row],[State_Code]],Territory_by_Code[],2)</f>
        <v>New York</v>
      </c>
      <c r="C1891" t="s">
        <v>1228</v>
      </c>
      <c r="D1891">
        <v>235509</v>
      </c>
      <c r="E1891">
        <v>844</v>
      </c>
    </row>
    <row r="1892" spans="1:5" x14ac:dyDescent="0.25">
      <c r="A1892" t="s">
        <v>1208</v>
      </c>
      <c r="B1892" t="str">
        <f>VLOOKUP(Counties_by_State_Code[[#This Row],[State_Code]],Territory_by_Code[],2)</f>
        <v>New York</v>
      </c>
      <c r="C1892" t="s">
        <v>1229</v>
      </c>
      <c r="D1892">
        <v>158061</v>
      </c>
      <c r="E1892">
        <v>210</v>
      </c>
    </row>
    <row r="1893" spans="1:5" x14ac:dyDescent="0.25">
      <c r="A1893" t="s">
        <v>1208</v>
      </c>
      <c r="B1893" t="str">
        <f>VLOOKUP(Counties_by_State_Code[[#This Row],[State_Code]],Territory_by_Code[],2)</f>
        <v>New York</v>
      </c>
      <c r="C1893" t="s">
        <v>1230</v>
      </c>
      <c r="D1893">
        <v>29714</v>
      </c>
      <c r="E1893">
        <v>626</v>
      </c>
    </row>
    <row r="1894" spans="1:5" x14ac:dyDescent="0.25">
      <c r="A1894" t="s">
        <v>1208</v>
      </c>
      <c r="B1894" t="str">
        <f>VLOOKUP(Counties_by_State_Code[[#This Row],[State_Code]],Territory_by_Code[],2)</f>
        <v>New York</v>
      </c>
      <c r="C1894" t="s">
        <v>561</v>
      </c>
      <c r="D1894">
        <v>17898</v>
      </c>
      <c r="E1894">
        <v>342</v>
      </c>
    </row>
    <row r="1895" spans="1:5" x14ac:dyDescent="0.25">
      <c r="A1895" t="s">
        <v>1208</v>
      </c>
      <c r="B1895" t="str">
        <f>VLOOKUP(Counties_by_State_Code[[#This Row],[State_Code]],Territory_by_Code[],2)</f>
        <v>New York</v>
      </c>
      <c r="C1895" t="s">
        <v>1231</v>
      </c>
      <c r="D1895">
        <v>33814</v>
      </c>
      <c r="E1895">
        <v>325</v>
      </c>
    </row>
    <row r="1896" spans="1:5" x14ac:dyDescent="0.25">
      <c r="A1896" t="s">
        <v>1208</v>
      </c>
      <c r="B1896" t="str">
        <f>VLOOKUP(Counties_by_State_Code[[#This Row],[State_Code]],Territory_by_Code[],2)</f>
        <v>New York</v>
      </c>
      <c r="C1896" t="s">
        <v>603</v>
      </c>
      <c r="D1896">
        <v>93584</v>
      </c>
      <c r="E1896">
        <v>1404</v>
      </c>
    </row>
    <row r="1897" spans="1:5" x14ac:dyDescent="0.25">
      <c r="A1897" t="s">
        <v>1208</v>
      </c>
      <c r="B1897" t="str">
        <f>VLOOKUP(Counties_by_State_Code[[#This Row],[State_Code]],Territory_by_Code[],2)</f>
        <v>New York</v>
      </c>
      <c r="C1897" t="s">
        <v>871</v>
      </c>
      <c r="D1897">
        <v>1525920</v>
      </c>
      <c r="E1897">
        <v>2373</v>
      </c>
    </row>
    <row r="1898" spans="1:5" x14ac:dyDescent="0.25">
      <c r="A1898" t="s">
        <v>1208</v>
      </c>
      <c r="B1898" t="str">
        <f>VLOOKUP(Counties_by_State_Code[[#This Row],[State_Code]],Territory_by_Code[],2)</f>
        <v>New York</v>
      </c>
      <c r="C1898" t="s">
        <v>604</v>
      </c>
      <c r="D1898">
        <v>78624</v>
      </c>
      <c r="E1898">
        <v>997</v>
      </c>
    </row>
    <row r="1899" spans="1:5" x14ac:dyDescent="0.25">
      <c r="A1899" t="s">
        <v>1208</v>
      </c>
      <c r="B1899" t="str">
        <f>VLOOKUP(Counties_by_State_Code[[#This Row],[State_Code]],Territory_by_Code[],2)</f>
        <v>New York</v>
      </c>
      <c r="C1899" t="s">
        <v>1232</v>
      </c>
      <c r="D1899">
        <v>48455</v>
      </c>
      <c r="E1899">
        <v>523</v>
      </c>
    </row>
    <row r="1900" spans="1:5" x14ac:dyDescent="0.25">
      <c r="A1900" t="s">
        <v>1208</v>
      </c>
      <c r="B1900" t="str">
        <f>VLOOKUP(Counties_by_State_Code[[#This Row],[State_Code]],Territory_by_Code[],2)</f>
        <v>New York</v>
      </c>
      <c r="C1900" t="s">
        <v>1233</v>
      </c>
      <c r="D1900">
        <v>105740</v>
      </c>
      <c r="E1900">
        <v>476</v>
      </c>
    </row>
    <row r="1901" spans="1:5" x14ac:dyDescent="0.25">
      <c r="A1901" t="s">
        <v>1208</v>
      </c>
      <c r="B1901" t="str">
        <f>VLOOKUP(Counties_by_State_Code[[#This Row],[State_Code]],Territory_by_Code[],2)</f>
        <v>New York</v>
      </c>
      <c r="C1901" t="s">
        <v>1234</v>
      </c>
      <c r="D1901">
        <v>181851</v>
      </c>
      <c r="E1901">
        <v>1161</v>
      </c>
    </row>
    <row r="1902" spans="1:5" x14ac:dyDescent="0.25">
      <c r="A1902" t="s">
        <v>1208</v>
      </c>
      <c r="B1902" t="str">
        <f>VLOOKUP(Counties_by_State_Code[[#This Row],[State_Code]],Territory_by_Code[],2)</f>
        <v>New York</v>
      </c>
      <c r="C1902" t="s">
        <v>467</v>
      </c>
      <c r="D1902">
        <v>65737</v>
      </c>
      <c r="E1902">
        <v>870</v>
      </c>
    </row>
    <row r="1903" spans="1:5" x14ac:dyDescent="0.25">
      <c r="A1903" t="s">
        <v>1208</v>
      </c>
      <c r="B1903" t="str">
        <f>VLOOKUP(Counties_by_State_Code[[#This Row],[State_Code]],Territory_by_Code[],2)</f>
        <v>New York</v>
      </c>
      <c r="C1903" t="s">
        <v>65</v>
      </c>
      <c r="D1903">
        <v>61302</v>
      </c>
      <c r="E1903">
        <v>846</v>
      </c>
    </row>
    <row r="1904" spans="1:5" x14ac:dyDescent="0.25">
      <c r="A1904" t="s">
        <v>1208</v>
      </c>
      <c r="B1904" t="str">
        <f>VLOOKUP(Counties_by_State_Code[[#This Row],[State_Code]],Territory_by_Code[],2)</f>
        <v>New York</v>
      </c>
      <c r="C1904" t="s">
        <v>468</v>
      </c>
      <c r="D1904">
        <v>91283</v>
      </c>
      <c r="E1904">
        <v>1384</v>
      </c>
    </row>
    <row r="1905" spans="1:5" x14ac:dyDescent="0.25">
      <c r="A1905" t="s">
        <v>1208</v>
      </c>
      <c r="B1905" t="str">
        <f>VLOOKUP(Counties_by_State_Code[[#This Row],[State_Code]],Territory_by_Code[],2)</f>
        <v>New York</v>
      </c>
      <c r="C1905" t="s">
        <v>1235</v>
      </c>
      <c r="D1905">
        <v>1004457</v>
      </c>
      <c r="E1905">
        <v>500</v>
      </c>
    </row>
    <row r="1906" spans="1:5" x14ac:dyDescent="0.25">
      <c r="A1906" t="s">
        <v>1208</v>
      </c>
      <c r="B1906" t="str">
        <f>VLOOKUP(Counties_by_State_Code[[#This Row],[State_Code]],Territory_by_Code[],2)</f>
        <v>New York</v>
      </c>
      <c r="C1906" t="s">
        <v>1236</v>
      </c>
      <c r="D1906">
        <v>40531</v>
      </c>
      <c r="E1906">
        <v>596</v>
      </c>
    </row>
    <row r="1907" spans="1:5" x14ac:dyDescent="0.25">
      <c r="A1907" t="s">
        <v>1208</v>
      </c>
      <c r="B1907" t="str">
        <f>VLOOKUP(Counties_by_State_Code[[#This Row],[State_Code]],Territory_by_Code[],2)</f>
        <v>New York</v>
      </c>
      <c r="C1907" t="s">
        <v>1237</v>
      </c>
      <c r="D1907">
        <v>24774</v>
      </c>
      <c r="E1907">
        <v>376</v>
      </c>
    </row>
    <row r="1908" spans="1:5" x14ac:dyDescent="0.25">
      <c r="A1908" t="s">
        <v>1239</v>
      </c>
      <c r="B1908" t="str">
        <f>VLOOKUP(Counties_by_State_Code[[#This Row],[State_Code]],Territory_by_Code[],2)</f>
        <v>North Carolina</v>
      </c>
      <c r="C1908" t="s">
        <v>1238</v>
      </c>
      <c r="D1908">
        <v>171415</v>
      </c>
      <c r="E1908">
        <v>435</v>
      </c>
    </row>
    <row r="1909" spans="1:5" x14ac:dyDescent="0.25">
      <c r="A1909" t="s">
        <v>1239</v>
      </c>
      <c r="B1909" t="str">
        <f>VLOOKUP(Counties_by_State_Code[[#This Row],[State_Code]],Territory_by_Code[],2)</f>
        <v>North Carolina</v>
      </c>
      <c r="C1909" t="s">
        <v>518</v>
      </c>
      <c r="D1909">
        <v>36444</v>
      </c>
      <c r="E1909">
        <v>263</v>
      </c>
    </row>
    <row r="1910" spans="1:5" x14ac:dyDescent="0.25">
      <c r="A1910" t="s">
        <v>1239</v>
      </c>
      <c r="B1910" t="str">
        <f>VLOOKUP(Counties_by_State_Code[[#This Row],[State_Code]],Territory_by_Code[],2)</f>
        <v>North Carolina</v>
      </c>
      <c r="C1910" t="s">
        <v>1240</v>
      </c>
      <c r="D1910">
        <v>10888</v>
      </c>
      <c r="E1910">
        <v>236</v>
      </c>
    </row>
    <row r="1911" spans="1:5" x14ac:dyDescent="0.25">
      <c r="A1911" t="s">
        <v>1239</v>
      </c>
      <c r="B1911" t="str">
        <f>VLOOKUP(Counties_by_State_Code[[#This Row],[State_Code]],Territory_by_Code[],2)</f>
        <v>North Carolina</v>
      </c>
      <c r="C1911" t="s">
        <v>1241</v>
      </c>
      <c r="D1911">
        <v>22055</v>
      </c>
      <c r="E1911">
        <v>537</v>
      </c>
    </row>
    <row r="1912" spans="1:5" x14ac:dyDescent="0.25">
      <c r="A1912" t="s">
        <v>1239</v>
      </c>
      <c r="B1912" t="str">
        <f>VLOOKUP(Counties_by_State_Code[[#This Row],[State_Code]],Territory_by_Code[],2)</f>
        <v>North Carolina</v>
      </c>
      <c r="C1912" t="s">
        <v>1242</v>
      </c>
      <c r="D1912">
        <v>26577</v>
      </c>
      <c r="E1912">
        <v>427</v>
      </c>
    </row>
    <row r="1913" spans="1:5" x14ac:dyDescent="0.25">
      <c r="A1913" t="s">
        <v>1239</v>
      </c>
      <c r="B1913" t="str">
        <f>VLOOKUP(Counties_by_State_Code[[#This Row],[State_Code]],Territory_by_Code[],2)</f>
        <v>North Carolina</v>
      </c>
      <c r="C1913" t="s">
        <v>1243</v>
      </c>
      <c r="D1913">
        <v>17806</v>
      </c>
      <c r="E1913">
        <v>247</v>
      </c>
    </row>
    <row r="1914" spans="1:5" x14ac:dyDescent="0.25">
      <c r="A1914" t="s">
        <v>1239</v>
      </c>
      <c r="B1914" t="str">
        <f>VLOOKUP(Counties_by_State_Code[[#This Row],[State_Code]],Territory_by_Code[],2)</f>
        <v>North Carolina</v>
      </c>
      <c r="C1914" t="s">
        <v>1244</v>
      </c>
      <c r="D1914">
        <v>44652</v>
      </c>
      <c r="E1914">
        <v>959</v>
      </c>
    </row>
    <row r="1915" spans="1:5" x14ac:dyDescent="0.25">
      <c r="A1915" t="s">
        <v>1239</v>
      </c>
      <c r="B1915" t="str">
        <f>VLOOKUP(Counties_by_State_Code[[#This Row],[State_Code]],Territory_by_Code[],2)</f>
        <v>North Carolina</v>
      </c>
      <c r="C1915" t="s">
        <v>1245</v>
      </c>
      <c r="D1915">
        <v>17934</v>
      </c>
      <c r="E1915">
        <v>741</v>
      </c>
    </row>
    <row r="1916" spans="1:5" x14ac:dyDescent="0.25">
      <c r="A1916" t="s">
        <v>1239</v>
      </c>
      <c r="B1916" t="str">
        <f>VLOOKUP(Counties_by_State_Code[[#This Row],[State_Code]],Territory_by_Code[],2)</f>
        <v>North Carolina</v>
      </c>
      <c r="C1916" t="s">
        <v>1246</v>
      </c>
      <c r="D1916">
        <v>29606</v>
      </c>
      <c r="E1916">
        <v>887</v>
      </c>
    </row>
    <row r="1917" spans="1:5" x14ac:dyDescent="0.25">
      <c r="A1917" t="s">
        <v>1239</v>
      </c>
      <c r="B1917" t="str">
        <f>VLOOKUP(Counties_by_State_Code[[#This Row],[State_Code]],Territory_by_Code[],2)</f>
        <v>North Carolina</v>
      </c>
      <c r="C1917" t="s">
        <v>1247</v>
      </c>
      <c r="D1917">
        <v>136693</v>
      </c>
      <c r="E1917">
        <v>860</v>
      </c>
    </row>
    <row r="1918" spans="1:5" x14ac:dyDescent="0.25">
      <c r="A1918" t="s">
        <v>1239</v>
      </c>
      <c r="B1918" t="str">
        <f>VLOOKUP(Counties_by_State_Code[[#This Row],[State_Code]],Territory_by_Code[],2)</f>
        <v>North Carolina</v>
      </c>
      <c r="C1918" t="s">
        <v>1248</v>
      </c>
      <c r="D1918">
        <v>269452</v>
      </c>
      <c r="E1918">
        <v>660</v>
      </c>
    </row>
    <row r="1919" spans="1:5" x14ac:dyDescent="0.25">
      <c r="A1919" t="s">
        <v>1239</v>
      </c>
      <c r="B1919" t="str">
        <f>VLOOKUP(Counties_by_State_Code[[#This Row],[State_Code]],Territory_by_Code[],2)</f>
        <v>North Carolina</v>
      </c>
      <c r="C1919" t="s">
        <v>380</v>
      </c>
      <c r="D1919">
        <v>87570</v>
      </c>
      <c r="E1919">
        <v>515</v>
      </c>
    </row>
    <row r="1920" spans="1:5" x14ac:dyDescent="0.25">
      <c r="A1920" t="s">
        <v>1239</v>
      </c>
      <c r="B1920" t="str">
        <f>VLOOKUP(Counties_by_State_Code[[#This Row],[State_Code]],Territory_by_Code[],2)</f>
        <v>North Carolina</v>
      </c>
      <c r="C1920" t="s">
        <v>1249</v>
      </c>
      <c r="D1920">
        <v>225804</v>
      </c>
      <c r="E1920">
        <v>365</v>
      </c>
    </row>
    <row r="1921" spans="1:5" x14ac:dyDescent="0.25">
      <c r="A1921" t="s">
        <v>1239</v>
      </c>
      <c r="B1921" t="str">
        <f>VLOOKUP(Counties_by_State_Code[[#This Row],[State_Code]],Territory_by_Code[],2)</f>
        <v>North Carolina</v>
      </c>
      <c r="C1921" t="s">
        <v>739</v>
      </c>
      <c r="D1921">
        <v>80652</v>
      </c>
      <c r="E1921">
        <v>474</v>
      </c>
    </row>
    <row r="1922" spans="1:5" x14ac:dyDescent="0.25">
      <c r="A1922" t="s">
        <v>1239</v>
      </c>
      <c r="B1922" t="str">
        <f>VLOOKUP(Counties_by_State_Code[[#This Row],[State_Code]],Territory_by_Code[],2)</f>
        <v>North Carolina</v>
      </c>
      <c r="C1922" t="s">
        <v>382</v>
      </c>
      <c r="D1922">
        <v>10355</v>
      </c>
      <c r="E1922">
        <v>306</v>
      </c>
    </row>
    <row r="1923" spans="1:5" x14ac:dyDescent="0.25">
      <c r="A1923" t="s">
        <v>1239</v>
      </c>
      <c r="B1923" t="str">
        <f>VLOOKUP(Counties_by_State_Code[[#This Row],[State_Code]],Territory_by_Code[],2)</f>
        <v>North Carolina</v>
      </c>
      <c r="C1923" t="s">
        <v>1250</v>
      </c>
      <c r="D1923">
        <v>67686</v>
      </c>
      <c r="E1923">
        <v>1341</v>
      </c>
    </row>
    <row r="1924" spans="1:5" x14ac:dyDescent="0.25">
      <c r="A1924" t="s">
        <v>1239</v>
      </c>
      <c r="B1924" t="str">
        <f>VLOOKUP(Counties_by_State_Code[[#This Row],[State_Code]],Territory_by_Code[],2)</f>
        <v>North Carolina</v>
      </c>
      <c r="C1924" t="s">
        <v>1251</v>
      </c>
      <c r="D1924">
        <v>22736</v>
      </c>
      <c r="E1924">
        <v>428</v>
      </c>
    </row>
    <row r="1925" spans="1:5" x14ac:dyDescent="0.25">
      <c r="A1925" t="s">
        <v>1239</v>
      </c>
      <c r="B1925" t="str">
        <f>VLOOKUP(Counties_by_State_Code[[#This Row],[State_Code]],Territory_by_Code[],2)</f>
        <v>North Carolina</v>
      </c>
      <c r="C1925" t="s">
        <v>1252</v>
      </c>
      <c r="D1925">
        <v>160610</v>
      </c>
      <c r="E1925">
        <v>414</v>
      </c>
    </row>
    <row r="1926" spans="1:5" x14ac:dyDescent="0.25">
      <c r="A1926" t="s">
        <v>1239</v>
      </c>
      <c r="B1926" t="str">
        <f>VLOOKUP(Counties_by_State_Code[[#This Row],[State_Code]],Territory_by_Code[],2)</f>
        <v>North Carolina</v>
      </c>
      <c r="C1926" t="s">
        <v>386</v>
      </c>
      <c r="D1926">
        <v>76285</v>
      </c>
      <c r="E1926">
        <v>709</v>
      </c>
    </row>
    <row r="1927" spans="1:5" x14ac:dyDescent="0.25">
      <c r="A1927" t="s">
        <v>1239</v>
      </c>
      <c r="B1927" t="str">
        <f>VLOOKUP(Counties_by_State_Code[[#This Row],[State_Code]],Territory_by_Code[],2)</f>
        <v>North Carolina</v>
      </c>
      <c r="C1927" t="s">
        <v>10</v>
      </c>
      <c r="D1927">
        <v>28774</v>
      </c>
      <c r="E1927">
        <v>497</v>
      </c>
    </row>
    <row r="1928" spans="1:5" x14ac:dyDescent="0.25">
      <c r="A1928" t="s">
        <v>1239</v>
      </c>
      <c r="B1928" t="str">
        <f>VLOOKUP(Counties_by_State_Code[[#This Row],[State_Code]],Territory_by_Code[],2)</f>
        <v>North Carolina</v>
      </c>
      <c r="C1928" t="s">
        <v>1253</v>
      </c>
      <c r="D1928">
        <v>13708</v>
      </c>
      <c r="E1928">
        <v>233</v>
      </c>
    </row>
    <row r="1929" spans="1:5" x14ac:dyDescent="0.25">
      <c r="A1929" t="s">
        <v>1239</v>
      </c>
      <c r="B1929" t="str">
        <f>VLOOKUP(Counties_by_State_Code[[#This Row],[State_Code]],Territory_by_Code[],2)</f>
        <v>North Carolina</v>
      </c>
      <c r="C1929" t="s">
        <v>14</v>
      </c>
      <c r="D1929">
        <v>11089</v>
      </c>
      <c r="E1929">
        <v>221</v>
      </c>
    </row>
    <row r="1930" spans="1:5" x14ac:dyDescent="0.25">
      <c r="A1930" t="s">
        <v>1239</v>
      </c>
      <c r="B1930" t="str">
        <f>VLOOKUP(Counties_by_State_Code[[#This Row],[State_Code]],Territory_by_Code[],2)</f>
        <v>North Carolina</v>
      </c>
      <c r="C1930" t="s">
        <v>131</v>
      </c>
      <c r="D1930">
        <v>99519</v>
      </c>
      <c r="E1930">
        <v>469</v>
      </c>
    </row>
    <row r="1931" spans="1:5" x14ac:dyDescent="0.25">
      <c r="A1931" t="s">
        <v>1239</v>
      </c>
      <c r="B1931" t="str">
        <f>VLOOKUP(Counties_by_State_Code[[#This Row],[State_Code]],Territory_by_Code[],2)</f>
        <v>North Carolina</v>
      </c>
      <c r="C1931" t="s">
        <v>1254</v>
      </c>
      <c r="D1931">
        <v>50623</v>
      </c>
      <c r="E1931">
        <v>954</v>
      </c>
    </row>
    <row r="1932" spans="1:5" x14ac:dyDescent="0.25">
      <c r="A1932" t="s">
        <v>1239</v>
      </c>
      <c r="B1932" t="str">
        <f>VLOOKUP(Counties_by_State_Code[[#This Row],[State_Code]],Territory_by_Code[],2)</f>
        <v>North Carolina</v>
      </c>
      <c r="C1932" t="s">
        <v>1255</v>
      </c>
      <c r="D1932">
        <v>100720</v>
      </c>
      <c r="E1932">
        <v>774</v>
      </c>
    </row>
    <row r="1933" spans="1:5" x14ac:dyDescent="0.25">
      <c r="A1933" t="s">
        <v>1239</v>
      </c>
      <c r="B1933" t="str">
        <f>VLOOKUP(Counties_by_State_Code[[#This Row],[State_Code]],Territory_by_Code[],2)</f>
        <v>North Carolina</v>
      </c>
      <c r="C1933" t="s">
        <v>527</v>
      </c>
      <c r="D1933">
        <v>334728</v>
      </c>
      <c r="E1933">
        <v>658</v>
      </c>
    </row>
    <row r="1934" spans="1:5" x14ac:dyDescent="0.25">
      <c r="A1934" t="s">
        <v>1239</v>
      </c>
      <c r="B1934" t="str">
        <f>VLOOKUP(Counties_by_State_Code[[#This Row],[State_Code]],Territory_by_Code[],2)</f>
        <v>North Carolina</v>
      </c>
      <c r="C1934" t="s">
        <v>1256</v>
      </c>
      <c r="D1934">
        <v>28100</v>
      </c>
      <c r="E1934">
        <v>526</v>
      </c>
    </row>
    <row r="1935" spans="1:5" x14ac:dyDescent="0.25">
      <c r="A1935" t="s">
        <v>1239</v>
      </c>
      <c r="B1935" t="str">
        <f>VLOOKUP(Counties_by_State_Code[[#This Row],[State_Code]],Territory_by_Code[],2)</f>
        <v>North Carolina</v>
      </c>
      <c r="C1935" t="s">
        <v>1257</v>
      </c>
      <c r="D1935">
        <v>36915</v>
      </c>
      <c r="E1935">
        <v>1562</v>
      </c>
    </row>
    <row r="1936" spans="1:5" x14ac:dyDescent="0.25">
      <c r="A1936" t="s">
        <v>1239</v>
      </c>
      <c r="B1936" t="str">
        <f>VLOOKUP(Counties_by_State_Code[[#This Row],[State_Code]],Territory_by_Code[],2)</f>
        <v>North Carolina</v>
      </c>
      <c r="C1936" t="s">
        <v>1258</v>
      </c>
      <c r="D1936">
        <v>168930</v>
      </c>
      <c r="E1936">
        <v>567</v>
      </c>
    </row>
    <row r="1937" spans="1:5" x14ac:dyDescent="0.25">
      <c r="A1937" t="s">
        <v>1239</v>
      </c>
      <c r="B1937" t="str">
        <f>VLOOKUP(Counties_by_State_Code[[#This Row],[State_Code]],Territory_by_Code[],2)</f>
        <v>North Carolina</v>
      </c>
      <c r="C1937" t="s">
        <v>1259</v>
      </c>
      <c r="D1937">
        <v>42712</v>
      </c>
      <c r="E1937">
        <v>267</v>
      </c>
    </row>
    <row r="1938" spans="1:5" x14ac:dyDescent="0.25">
      <c r="A1938" t="s">
        <v>1239</v>
      </c>
      <c r="B1938" t="str">
        <f>VLOOKUP(Counties_by_State_Code[[#This Row],[State_Code]],Territory_by_Code[],2)</f>
        <v>North Carolina</v>
      </c>
      <c r="C1938" t="s">
        <v>1260</v>
      </c>
      <c r="D1938">
        <v>48715</v>
      </c>
      <c r="E1938">
        <v>819</v>
      </c>
    </row>
    <row r="1939" spans="1:5" x14ac:dyDescent="0.25">
      <c r="A1939" t="s">
        <v>1239</v>
      </c>
      <c r="B1939" t="str">
        <f>VLOOKUP(Counties_by_State_Code[[#This Row],[State_Code]],Territory_by_Code[],2)</f>
        <v>North Carolina</v>
      </c>
      <c r="C1939" t="s">
        <v>1261</v>
      </c>
      <c r="D1939">
        <v>324833</v>
      </c>
      <c r="E1939">
        <v>298</v>
      </c>
    </row>
    <row r="1940" spans="1:5" x14ac:dyDescent="0.25">
      <c r="A1940" t="s">
        <v>1239</v>
      </c>
      <c r="B1940" t="str">
        <f>VLOOKUP(Counties_by_State_Code[[#This Row],[State_Code]],Territory_by_Code[],2)</f>
        <v>North Carolina</v>
      </c>
      <c r="C1940" t="s">
        <v>1262</v>
      </c>
      <c r="D1940">
        <v>48900</v>
      </c>
      <c r="E1940">
        <v>507</v>
      </c>
    </row>
    <row r="1941" spans="1:5" x14ac:dyDescent="0.25">
      <c r="A1941" t="s">
        <v>1239</v>
      </c>
      <c r="B1941" t="str">
        <f>VLOOKUP(Counties_by_State_Code[[#This Row],[State_Code]],Territory_by_Code[],2)</f>
        <v>North Carolina</v>
      </c>
      <c r="C1941" t="s">
        <v>409</v>
      </c>
      <c r="D1941">
        <v>382590</v>
      </c>
      <c r="E1941">
        <v>413</v>
      </c>
    </row>
    <row r="1942" spans="1:5" x14ac:dyDescent="0.25">
      <c r="A1942" t="s">
        <v>1239</v>
      </c>
      <c r="B1942" t="str">
        <f>VLOOKUP(Counties_by_State_Code[[#This Row],[State_Code]],Territory_by_Code[],2)</f>
        <v>North Carolina</v>
      </c>
      <c r="C1942" t="s">
        <v>30</v>
      </c>
      <c r="D1942">
        <v>68573</v>
      </c>
      <c r="E1942">
        <v>495</v>
      </c>
    </row>
    <row r="1943" spans="1:5" x14ac:dyDescent="0.25">
      <c r="A1943" t="s">
        <v>1239</v>
      </c>
      <c r="B1943" t="str">
        <f>VLOOKUP(Counties_by_State_Code[[#This Row],[State_Code]],Territory_by_Code[],2)</f>
        <v>North Carolina</v>
      </c>
      <c r="C1943" t="s">
        <v>1263</v>
      </c>
      <c r="D1943">
        <v>227943</v>
      </c>
      <c r="E1943">
        <v>364</v>
      </c>
    </row>
    <row r="1944" spans="1:5" x14ac:dyDescent="0.25">
      <c r="A1944" t="s">
        <v>1239</v>
      </c>
      <c r="B1944" t="str">
        <f>VLOOKUP(Counties_by_State_Code[[#This Row],[State_Code]],Territory_by_Code[],2)</f>
        <v>North Carolina</v>
      </c>
      <c r="C1944" t="s">
        <v>1264</v>
      </c>
      <c r="D1944">
        <v>10478</v>
      </c>
      <c r="E1944">
        <v>346</v>
      </c>
    </row>
    <row r="1945" spans="1:5" x14ac:dyDescent="0.25">
      <c r="A1945" t="s">
        <v>1239</v>
      </c>
      <c r="B1945" t="str">
        <f>VLOOKUP(Counties_by_State_Code[[#This Row],[State_Code]],Territory_by_Code[],2)</f>
        <v>North Carolina</v>
      </c>
      <c r="C1945" t="s">
        <v>110</v>
      </c>
      <c r="D1945">
        <v>8030</v>
      </c>
      <c r="E1945">
        <v>302</v>
      </c>
    </row>
    <row r="1946" spans="1:5" x14ac:dyDescent="0.25">
      <c r="A1946" t="s">
        <v>1239</v>
      </c>
      <c r="B1946" t="str">
        <f>VLOOKUP(Counties_by_State_Code[[#This Row],[State_Code]],Territory_by_Code[],2)</f>
        <v>North Carolina</v>
      </c>
      <c r="C1946" t="s">
        <v>1265</v>
      </c>
      <c r="D1946">
        <v>60992</v>
      </c>
      <c r="E1946">
        <v>537</v>
      </c>
    </row>
    <row r="1947" spans="1:5" x14ac:dyDescent="0.25">
      <c r="A1947" t="s">
        <v>1239</v>
      </c>
      <c r="B1947" t="str">
        <f>VLOOKUP(Counties_by_State_Code[[#This Row],[State_Code]],Territory_by_Code[],2)</f>
        <v>North Carolina</v>
      </c>
      <c r="C1947" t="s">
        <v>32</v>
      </c>
      <c r="D1947">
        <v>20451</v>
      </c>
      <c r="E1947">
        <v>266</v>
      </c>
    </row>
    <row r="1948" spans="1:5" x14ac:dyDescent="0.25">
      <c r="A1948" t="s">
        <v>1239</v>
      </c>
      <c r="B1948" t="str">
        <f>VLOOKUP(Counties_by_State_Code[[#This Row],[State_Code]],Territory_by_Code[],2)</f>
        <v>North Carolina</v>
      </c>
      <c r="C1948" t="s">
        <v>1266</v>
      </c>
      <c r="D1948">
        <v>541299</v>
      </c>
      <c r="E1948">
        <v>658</v>
      </c>
    </row>
    <row r="1949" spans="1:5" x14ac:dyDescent="0.25">
      <c r="A1949" t="s">
        <v>1239</v>
      </c>
      <c r="B1949" t="str">
        <f>VLOOKUP(Counties_by_State_Code[[#This Row],[State_Code]],Territory_by_Code[],2)</f>
        <v>North Carolina</v>
      </c>
      <c r="C1949" t="s">
        <v>1267</v>
      </c>
      <c r="D1949">
        <v>48622</v>
      </c>
      <c r="E1949">
        <v>731</v>
      </c>
    </row>
    <row r="1950" spans="1:5" x14ac:dyDescent="0.25">
      <c r="A1950" t="s">
        <v>1239</v>
      </c>
      <c r="B1950" t="str">
        <f>VLOOKUP(Counties_by_State_Code[[#This Row],[State_Code]],Territory_by_Code[],2)</f>
        <v>North Carolina</v>
      </c>
      <c r="C1950" t="s">
        <v>1268</v>
      </c>
      <c r="D1950">
        <v>133568</v>
      </c>
      <c r="E1950">
        <v>601</v>
      </c>
    </row>
    <row r="1951" spans="1:5" x14ac:dyDescent="0.25">
      <c r="A1951" t="s">
        <v>1239</v>
      </c>
      <c r="B1951" t="str">
        <f>VLOOKUP(Counties_by_State_Code[[#This Row],[State_Code]],Territory_by_Code[],2)</f>
        <v>North Carolina</v>
      </c>
      <c r="C1951" t="s">
        <v>1269</v>
      </c>
      <c r="D1951">
        <v>62089</v>
      </c>
      <c r="E1951">
        <v>555</v>
      </c>
    </row>
    <row r="1952" spans="1:5" x14ac:dyDescent="0.25">
      <c r="A1952" t="s">
        <v>1239</v>
      </c>
      <c r="B1952" t="str">
        <f>VLOOKUP(Counties_by_State_Code[[#This Row],[State_Code]],Territory_by_Code[],2)</f>
        <v>North Carolina</v>
      </c>
      <c r="C1952" t="s">
        <v>536</v>
      </c>
      <c r="D1952">
        <v>116281</v>
      </c>
      <c r="E1952">
        <v>375</v>
      </c>
    </row>
    <row r="1953" spans="1:5" x14ac:dyDescent="0.25">
      <c r="A1953" t="s">
        <v>1239</v>
      </c>
      <c r="B1953" t="str">
        <f>VLOOKUP(Counties_by_State_Code[[#This Row],[State_Code]],Territory_by_Code[],2)</f>
        <v>North Carolina</v>
      </c>
      <c r="C1953" t="s">
        <v>1270</v>
      </c>
      <c r="D1953">
        <v>21552</v>
      </c>
      <c r="E1953">
        <v>360</v>
      </c>
    </row>
    <row r="1954" spans="1:5" x14ac:dyDescent="0.25">
      <c r="A1954" t="s">
        <v>1239</v>
      </c>
      <c r="B1954" t="str">
        <f>VLOOKUP(Counties_by_State_Code[[#This Row],[State_Code]],Territory_by_Code[],2)</f>
        <v>North Carolina</v>
      </c>
      <c r="C1954" t="s">
        <v>1271</v>
      </c>
      <c r="D1954">
        <v>52082</v>
      </c>
      <c r="E1954">
        <v>392</v>
      </c>
    </row>
    <row r="1955" spans="1:5" x14ac:dyDescent="0.25">
      <c r="A1955" t="s">
        <v>1239</v>
      </c>
      <c r="B1955" t="str">
        <f>VLOOKUP(Counties_by_State_Code[[#This Row],[State_Code]],Territory_by_Code[],2)</f>
        <v>North Carolina</v>
      </c>
      <c r="C1955" t="s">
        <v>1272</v>
      </c>
      <c r="D1955">
        <v>4589</v>
      </c>
      <c r="E1955">
        <v>1424</v>
      </c>
    </row>
    <row r="1956" spans="1:5" x14ac:dyDescent="0.25">
      <c r="A1956" t="s">
        <v>1239</v>
      </c>
      <c r="B1956" t="str">
        <f>VLOOKUP(Counties_by_State_Code[[#This Row],[State_Code]],Territory_by_Code[],2)</f>
        <v>North Carolina</v>
      </c>
      <c r="C1956" t="s">
        <v>1273</v>
      </c>
      <c r="D1956">
        <v>186693</v>
      </c>
      <c r="E1956">
        <v>597</v>
      </c>
    </row>
    <row r="1957" spans="1:5" x14ac:dyDescent="0.25">
      <c r="A1957" t="s">
        <v>1239</v>
      </c>
      <c r="B1957" t="str">
        <f>VLOOKUP(Counties_by_State_Code[[#This Row],[State_Code]],Territory_by_Code[],2)</f>
        <v>North Carolina</v>
      </c>
      <c r="C1957" t="s">
        <v>36</v>
      </c>
      <c r="D1957">
        <v>43109</v>
      </c>
      <c r="E1957">
        <v>494</v>
      </c>
    </row>
    <row r="1958" spans="1:5" x14ac:dyDescent="0.25">
      <c r="A1958" t="s">
        <v>1239</v>
      </c>
      <c r="B1958" t="str">
        <f>VLOOKUP(Counties_by_State_Code[[#This Row],[State_Code]],Territory_by_Code[],2)</f>
        <v>North Carolina</v>
      </c>
      <c r="C1958" t="s">
        <v>1274</v>
      </c>
      <c r="D1958">
        <v>215999</v>
      </c>
      <c r="E1958">
        <v>796</v>
      </c>
    </row>
    <row r="1959" spans="1:5" x14ac:dyDescent="0.25">
      <c r="A1959" t="s">
        <v>1239</v>
      </c>
      <c r="B1959" t="str">
        <f>VLOOKUP(Counties_by_State_Code[[#This Row],[State_Code]],Territory_by_Code[],2)</f>
        <v>North Carolina</v>
      </c>
      <c r="C1959" t="s">
        <v>427</v>
      </c>
      <c r="D1959">
        <v>9172</v>
      </c>
      <c r="E1959">
        <v>473</v>
      </c>
    </row>
    <row r="1960" spans="1:5" x14ac:dyDescent="0.25">
      <c r="A1960" t="s">
        <v>1239</v>
      </c>
      <c r="B1960" t="str">
        <f>VLOOKUP(Counties_by_State_Code[[#This Row],[State_Code]],Territory_by_Code[],2)</f>
        <v>North Carolina</v>
      </c>
      <c r="C1960" t="s">
        <v>41</v>
      </c>
      <c r="D1960">
        <v>63285</v>
      </c>
      <c r="E1960">
        <v>259</v>
      </c>
    </row>
    <row r="1961" spans="1:5" x14ac:dyDescent="0.25">
      <c r="A1961" t="s">
        <v>1239</v>
      </c>
      <c r="B1961" t="str">
        <f>VLOOKUP(Counties_by_State_Code[[#This Row],[State_Code]],Territory_by_Code[],2)</f>
        <v>North Carolina</v>
      </c>
      <c r="C1961" t="s">
        <v>1275</v>
      </c>
      <c r="D1961">
        <v>55122</v>
      </c>
      <c r="E1961">
        <v>402</v>
      </c>
    </row>
    <row r="1962" spans="1:5" x14ac:dyDescent="0.25">
      <c r="A1962" t="s">
        <v>1239</v>
      </c>
      <c r="B1962" t="str">
        <f>VLOOKUP(Counties_by_State_Code[[#This Row],[State_Code]],Territory_by_Code[],2)</f>
        <v>North Carolina</v>
      </c>
      <c r="C1962" t="s">
        <v>151</v>
      </c>
      <c r="D1962">
        <v>86810</v>
      </c>
      <c r="E1962">
        <v>307</v>
      </c>
    </row>
    <row r="1963" spans="1:5" x14ac:dyDescent="0.25">
      <c r="A1963" t="s">
        <v>1239</v>
      </c>
      <c r="B1963" t="str">
        <f>VLOOKUP(Counties_by_State_Code[[#This Row],[State_Code]],Territory_by_Code[],2)</f>
        <v>North Carolina</v>
      </c>
      <c r="C1963" t="s">
        <v>44</v>
      </c>
      <c r="D1963">
        <v>37014</v>
      </c>
      <c r="E1963">
        <v>452</v>
      </c>
    </row>
    <row r="1964" spans="1:5" x14ac:dyDescent="0.25">
      <c r="A1964" t="s">
        <v>1239</v>
      </c>
      <c r="B1964" t="str">
        <f>VLOOKUP(Counties_by_State_Code[[#This Row],[State_Code]],Territory_by_Code[],2)</f>
        <v>North Carolina</v>
      </c>
      <c r="C1964" t="s">
        <v>45</v>
      </c>
      <c r="D1964">
        <v>21193</v>
      </c>
      <c r="E1964">
        <v>461</v>
      </c>
    </row>
    <row r="1965" spans="1:5" x14ac:dyDescent="0.25">
      <c r="A1965" t="s">
        <v>1239</v>
      </c>
      <c r="B1965" t="str">
        <f>VLOOKUP(Counties_by_State_Code[[#This Row],[State_Code]],Territory_by_Code[],2)</f>
        <v>North Carolina</v>
      </c>
      <c r="C1965" t="s">
        <v>346</v>
      </c>
      <c r="D1965">
        <v>22031</v>
      </c>
      <c r="E1965">
        <v>446</v>
      </c>
    </row>
    <row r="1966" spans="1:5" x14ac:dyDescent="0.25">
      <c r="A1966" t="s">
        <v>1239</v>
      </c>
      <c r="B1966" t="str">
        <f>VLOOKUP(Counties_by_State_Code[[#This Row],[State_Code]],Territory_by_Code[],2)</f>
        <v>North Carolina</v>
      </c>
      <c r="C1966" t="s">
        <v>1276</v>
      </c>
      <c r="D1966">
        <v>44578</v>
      </c>
      <c r="E1966">
        <v>519</v>
      </c>
    </row>
    <row r="1967" spans="1:5" x14ac:dyDescent="0.25">
      <c r="A1967" t="s">
        <v>1239</v>
      </c>
      <c r="B1967" t="str">
        <f>VLOOKUP(Counties_by_State_Code[[#This Row],[State_Code]],Territory_by_Code[],2)</f>
        <v>North Carolina</v>
      </c>
      <c r="C1967" t="s">
        <v>1277</v>
      </c>
      <c r="D1967">
        <v>1115482</v>
      </c>
      <c r="E1967">
        <v>546</v>
      </c>
    </row>
    <row r="1968" spans="1:5" x14ac:dyDescent="0.25">
      <c r="A1968" t="s">
        <v>1239</v>
      </c>
      <c r="B1968" t="str">
        <f>VLOOKUP(Counties_by_State_Code[[#This Row],[State_Code]],Territory_by_Code[],2)</f>
        <v>North Carolina</v>
      </c>
      <c r="C1968" t="s">
        <v>435</v>
      </c>
      <c r="D1968">
        <v>14903</v>
      </c>
      <c r="E1968">
        <v>222</v>
      </c>
    </row>
    <row r="1969" spans="1:5" x14ac:dyDescent="0.25">
      <c r="A1969" t="s">
        <v>1239</v>
      </c>
      <c r="B1969" t="str">
        <f>VLOOKUP(Counties_by_State_Code[[#This Row],[State_Code]],Territory_by_Code[],2)</f>
        <v>North Carolina</v>
      </c>
      <c r="C1969" t="s">
        <v>51</v>
      </c>
      <c r="D1969">
        <v>25751</v>
      </c>
      <c r="E1969">
        <v>502</v>
      </c>
    </row>
    <row r="1970" spans="1:5" x14ac:dyDescent="0.25">
      <c r="A1970" t="s">
        <v>1239</v>
      </c>
      <c r="B1970" t="str">
        <f>VLOOKUP(Counties_by_State_Code[[#This Row],[State_Code]],Territory_by_Code[],2)</f>
        <v>North Carolina</v>
      </c>
      <c r="C1970" t="s">
        <v>1278</v>
      </c>
      <c r="D1970">
        <v>99727</v>
      </c>
      <c r="E1970">
        <v>706</v>
      </c>
    </row>
    <row r="1971" spans="1:5" x14ac:dyDescent="0.25">
      <c r="A1971" t="s">
        <v>1239</v>
      </c>
      <c r="B1971" t="str">
        <f>VLOOKUP(Counties_by_State_Code[[#This Row],[State_Code]],Territory_by_Code[],2)</f>
        <v>North Carolina</v>
      </c>
      <c r="C1971" t="s">
        <v>1279</v>
      </c>
      <c r="D1971">
        <v>94970</v>
      </c>
      <c r="E1971">
        <v>543</v>
      </c>
    </row>
    <row r="1972" spans="1:5" x14ac:dyDescent="0.25">
      <c r="A1972" t="s">
        <v>1239</v>
      </c>
      <c r="B1972" t="str">
        <f>VLOOKUP(Counties_by_State_Code[[#This Row],[State_Code]],Territory_by_Code[],2)</f>
        <v>North Carolina</v>
      </c>
      <c r="C1972" t="s">
        <v>1280</v>
      </c>
      <c r="D1972">
        <v>225702</v>
      </c>
      <c r="E1972">
        <v>328</v>
      </c>
    </row>
    <row r="1973" spans="1:5" x14ac:dyDescent="0.25">
      <c r="A1973" t="s">
        <v>1239</v>
      </c>
      <c r="B1973" t="str">
        <f>VLOOKUP(Counties_by_State_Code[[#This Row],[State_Code]],Territory_by_Code[],2)</f>
        <v>North Carolina</v>
      </c>
      <c r="C1973" t="s">
        <v>1281</v>
      </c>
      <c r="D1973">
        <v>17471</v>
      </c>
      <c r="E1973">
        <v>551</v>
      </c>
    </row>
    <row r="1974" spans="1:5" x14ac:dyDescent="0.25">
      <c r="A1974" t="s">
        <v>1239</v>
      </c>
      <c r="B1974" t="str">
        <f>VLOOKUP(Counties_by_State_Code[[#This Row],[State_Code]],Territory_by_Code[],2)</f>
        <v>North Carolina</v>
      </c>
      <c r="C1974" t="s">
        <v>1282</v>
      </c>
      <c r="D1974">
        <v>204576</v>
      </c>
      <c r="E1974">
        <v>909</v>
      </c>
    </row>
    <row r="1975" spans="1:5" x14ac:dyDescent="0.25">
      <c r="A1975" t="s">
        <v>1239</v>
      </c>
      <c r="B1975" t="str">
        <f>VLOOKUP(Counties_by_State_Code[[#This Row],[State_Code]],Territory_by_Code[],2)</f>
        <v>North Carolina</v>
      </c>
      <c r="C1975" t="s">
        <v>208</v>
      </c>
      <c r="D1975">
        <v>148696</v>
      </c>
      <c r="E1975">
        <v>401</v>
      </c>
    </row>
    <row r="1976" spans="1:5" x14ac:dyDescent="0.25">
      <c r="A1976" t="s">
        <v>1239</v>
      </c>
      <c r="B1976" t="str">
        <f>VLOOKUP(Counties_by_State_Code[[#This Row],[State_Code]],Territory_by_Code[],2)</f>
        <v>North Carolina</v>
      </c>
      <c r="C1976" t="s">
        <v>1283</v>
      </c>
      <c r="D1976">
        <v>12276</v>
      </c>
      <c r="E1976">
        <v>566</v>
      </c>
    </row>
    <row r="1977" spans="1:5" x14ac:dyDescent="0.25">
      <c r="A1977" t="s">
        <v>1239</v>
      </c>
      <c r="B1977" t="str">
        <f>VLOOKUP(Counties_by_State_Code[[#This Row],[State_Code]],Territory_by_Code[],2)</f>
        <v>North Carolina</v>
      </c>
      <c r="C1977" t="s">
        <v>1284</v>
      </c>
      <c r="D1977">
        <v>40568</v>
      </c>
      <c r="E1977">
        <v>289</v>
      </c>
    </row>
    <row r="1978" spans="1:5" x14ac:dyDescent="0.25">
      <c r="A1978" t="s">
        <v>1239</v>
      </c>
      <c r="B1978" t="str">
        <f>VLOOKUP(Counties_by_State_Code[[#This Row],[State_Code]],Territory_by_Code[],2)</f>
        <v>North Carolina</v>
      </c>
      <c r="C1978" t="s">
        <v>1285</v>
      </c>
      <c r="D1978">
        <v>60203</v>
      </c>
      <c r="E1978">
        <v>933</v>
      </c>
    </row>
    <row r="1979" spans="1:5" x14ac:dyDescent="0.25">
      <c r="A1979" t="s">
        <v>1239</v>
      </c>
      <c r="B1979" t="str">
        <f>VLOOKUP(Counties_by_State_Code[[#This Row],[State_Code]],Territory_by_Code[],2)</f>
        <v>North Carolina</v>
      </c>
      <c r="C1979" t="s">
        <v>1286</v>
      </c>
      <c r="D1979">
        <v>13005</v>
      </c>
      <c r="E1979">
        <v>329</v>
      </c>
    </row>
    <row r="1980" spans="1:5" x14ac:dyDescent="0.25">
      <c r="A1980" t="s">
        <v>1239</v>
      </c>
      <c r="B1980" t="str">
        <f>VLOOKUP(Counties_by_State_Code[[#This Row],[State_Code]],Territory_by_Code[],2)</f>
        <v>North Carolina</v>
      </c>
      <c r="C1980" t="s">
        <v>1287</v>
      </c>
      <c r="D1980">
        <v>39097</v>
      </c>
      <c r="E1980">
        <v>404</v>
      </c>
    </row>
    <row r="1981" spans="1:5" x14ac:dyDescent="0.25">
      <c r="A1981" t="s">
        <v>1239</v>
      </c>
      <c r="B1981" t="str">
        <f>VLOOKUP(Counties_by_State_Code[[#This Row],[State_Code]],Territory_by_Code[],2)</f>
        <v>North Carolina</v>
      </c>
      <c r="C1981" t="s">
        <v>1288</v>
      </c>
      <c r="D1981">
        <v>170243</v>
      </c>
      <c r="E1981">
        <v>655</v>
      </c>
    </row>
    <row r="1982" spans="1:5" x14ac:dyDescent="0.25">
      <c r="A1982" t="s">
        <v>1239</v>
      </c>
      <c r="B1982" t="str">
        <f>VLOOKUP(Counties_by_State_Code[[#This Row],[State_Code]],Territory_by_Code[],2)</f>
        <v>North Carolina</v>
      </c>
      <c r="C1982" t="s">
        <v>162</v>
      </c>
      <c r="D1982">
        <v>19328</v>
      </c>
      <c r="E1982">
        <v>239</v>
      </c>
    </row>
    <row r="1983" spans="1:5" x14ac:dyDescent="0.25">
      <c r="A1983" t="s">
        <v>1239</v>
      </c>
      <c r="B1983" t="str">
        <f>VLOOKUP(Counties_by_State_Code[[#This Row],[State_Code]],Territory_by_Code[],2)</f>
        <v>North Carolina</v>
      </c>
      <c r="C1983" t="s">
        <v>56</v>
      </c>
      <c r="D1983">
        <v>144171</v>
      </c>
      <c r="E1983">
        <v>790</v>
      </c>
    </row>
    <row r="1984" spans="1:5" x14ac:dyDescent="0.25">
      <c r="A1984" t="s">
        <v>1239</v>
      </c>
      <c r="B1984" t="str">
        <f>VLOOKUP(Counties_by_State_Code[[#This Row],[State_Code]],Territory_by_Code[],2)</f>
        <v>North Carolina</v>
      </c>
      <c r="C1984" t="s">
        <v>445</v>
      </c>
      <c r="D1984">
        <v>42946</v>
      </c>
      <c r="E1984">
        <v>480</v>
      </c>
    </row>
    <row r="1985" spans="1:5" x14ac:dyDescent="0.25">
      <c r="A1985" t="s">
        <v>1239</v>
      </c>
      <c r="B1985" t="str">
        <f>VLOOKUP(Counties_by_State_Code[[#This Row],[State_Code]],Territory_by_Code[],2)</f>
        <v>North Carolina</v>
      </c>
      <c r="C1985" t="s">
        <v>1289</v>
      </c>
      <c r="D1985">
        <v>116530</v>
      </c>
      <c r="E1985">
        <v>951</v>
      </c>
    </row>
    <row r="1986" spans="1:5" x14ac:dyDescent="0.25">
      <c r="A1986" t="s">
        <v>1239</v>
      </c>
      <c r="B1986" t="str">
        <f>VLOOKUP(Counties_by_State_Code[[#This Row],[State_Code]],Territory_by_Code[],2)</f>
        <v>North Carolina</v>
      </c>
      <c r="C1986" t="s">
        <v>1168</v>
      </c>
      <c r="D1986">
        <v>91096</v>
      </c>
      <c r="E1986">
        <v>572</v>
      </c>
    </row>
    <row r="1987" spans="1:5" x14ac:dyDescent="0.25">
      <c r="A1987" t="s">
        <v>1239</v>
      </c>
      <c r="B1987" t="str">
        <f>VLOOKUP(Counties_by_State_Code[[#This Row],[State_Code]],Territory_by_Code[],2)</f>
        <v>North Carolina</v>
      </c>
      <c r="C1987" t="s">
        <v>778</v>
      </c>
      <c r="D1987">
        <v>146875</v>
      </c>
      <c r="E1987">
        <v>524</v>
      </c>
    </row>
    <row r="1988" spans="1:5" x14ac:dyDescent="0.25">
      <c r="A1988" t="s">
        <v>1239</v>
      </c>
      <c r="B1988" t="str">
        <f>VLOOKUP(Counties_by_State_Code[[#This Row],[State_Code]],Territory_by_Code[],2)</f>
        <v>North Carolina</v>
      </c>
      <c r="C1988" t="s">
        <v>1290</v>
      </c>
      <c r="D1988">
        <v>64444</v>
      </c>
      <c r="E1988">
        <v>566</v>
      </c>
    </row>
    <row r="1989" spans="1:5" x14ac:dyDescent="0.25">
      <c r="A1989" t="s">
        <v>1239</v>
      </c>
      <c r="B1989" t="str">
        <f>VLOOKUP(Counties_by_State_Code[[#This Row],[State_Code]],Territory_by_Code[],2)</f>
        <v>North Carolina</v>
      </c>
      <c r="C1989" t="s">
        <v>1291</v>
      </c>
      <c r="D1989">
        <v>59036</v>
      </c>
      <c r="E1989">
        <v>947</v>
      </c>
    </row>
    <row r="1990" spans="1:5" x14ac:dyDescent="0.25">
      <c r="A1990" t="s">
        <v>1239</v>
      </c>
      <c r="B1990" t="str">
        <f>VLOOKUP(Counties_by_State_Code[[#This Row],[State_Code]],Territory_by_Code[],2)</f>
        <v>North Carolina</v>
      </c>
      <c r="C1990" t="s">
        <v>1066</v>
      </c>
      <c r="D1990">
        <v>34174</v>
      </c>
      <c r="E1990">
        <v>321</v>
      </c>
    </row>
    <row r="1991" spans="1:5" x14ac:dyDescent="0.25">
      <c r="A1991" t="s">
        <v>1239</v>
      </c>
      <c r="B1991" t="str">
        <f>VLOOKUP(Counties_by_State_Code[[#This Row],[State_Code]],Territory_by_Code[],2)</f>
        <v>North Carolina</v>
      </c>
      <c r="C1991" t="s">
        <v>1292</v>
      </c>
      <c r="D1991">
        <v>62504</v>
      </c>
      <c r="E1991">
        <v>404</v>
      </c>
    </row>
    <row r="1992" spans="1:5" x14ac:dyDescent="0.25">
      <c r="A1992" t="s">
        <v>1239</v>
      </c>
      <c r="B1992" t="str">
        <f>VLOOKUP(Counties_by_State_Code[[#This Row],[State_Code]],Territory_by_Code[],2)</f>
        <v>North Carolina</v>
      </c>
      <c r="C1992" t="s">
        <v>1293</v>
      </c>
      <c r="D1992">
        <v>44520</v>
      </c>
      <c r="E1992">
        <v>456</v>
      </c>
    </row>
    <row r="1993" spans="1:5" x14ac:dyDescent="0.25">
      <c r="A1993" t="s">
        <v>1239</v>
      </c>
      <c r="B1993" t="str">
        <f>VLOOKUP(Counties_by_State_Code[[#This Row],[State_Code]],Territory_by_Code[],2)</f>
        <v>North Carolina</v>
      </c>
      <c r="C1993" t="s">
        <v>1294</v>
      </c>
      <c r="D1993">
        <v>71359</v>
      </c>
      <c r="E1993">
        <v>538</v>
      </c>
    </row>
    <row r="1994" spans="1:5" x14ac:dyDescent="0.25">
      <c r="A1994" t="s">
        <v>1239</v>
      </c>
      <c r="B1994" t="str">
        <f>VLOOKUP(Counties_by_State_Code[[#This Row],[State_Code]],Territory_by_Code[],2)</f>
        <v>North Carolina</v>
      </c>
      <c r="C1994" t="s">
        <v>1295</v>
      </c>
      <c r="D1994">
        <v>14117</v>
      </c>
      <c r="E1994">
        <v>541</v>
      </c>
    </row>
    <row r="1995" spans="1:5" x14ac:dyDescent="0.25">
      <c r="A1995" t="s">
        <v>1239</v>
      </c>
      <c r="B1995" t="str">
        <f>VLOOKUP(Counties_by_State_Code[[#This Row],[State_Code]],Territory_by_Code[],2)</f>
        <v>North Carolina</v>
      </c>
      <c r="C1995" t="s">
        <v>1296</v>
      </c>
      <c r="D1995">
        <v>32986</v>
      </c>
      <c r="E1995">
        <v>381</v>
      </c>
    </row>
    <row r="1996" spans="1:5" x14ac:dyDescent="0.25">
      <c r="A1996" t="s">
        <v>1239</v>
      </c>
      <c r="B1996" t="str">
        <f>VLOOKUP(Counties_by_State_Code[[#This Row],[State_Code]],Territory_by_Code[],2)</f>
        <v>North Carolina</v>
      </c>
      <c r="C1996" t="s">
        <v>1297</v>
      </c>
      <c r="D1996">
        <v>3245</v>
      </c>
      <c r="E1996">
        <v>600</v>
      </c>
    </row>
    <row r="1997" spans="1:5" x14ac:dyDescent="0.25">
      <c r="A1997" t="s">
        <v>1239</v>
      </c>
      <c r="B1997" t="str">
        <f>VLOOKUP(Counties_by_State_Code[[#This Row],[State_Code]],Territory_by_Code[],2)</f>
        <v>North Carolina</v>
      </c>
      <c r="C1997" t="s">
        <v>174</v>
      </c>
      <c r="D1997">
        <v>238267</v>
      </c>
      <c r="E1997">
        <v>640</v>
      </c>
    </row>
    <row r="1998" spans="1:5" x14ac:dyDescent="0.25">
      <c r="A1998" t="s">
        <v>1239</v>
      </c>
      <c r="B1998" t="str">
        <f>VLOOKUP(Counties_by_State_Code[[#This Row],[State_Code]],Territory_by_Code[],2)</f>
        <v>North Carolina</v>
      </c>
      <c r="C1998" t="s">
        <v>1298</v>
      </c>
      <c r="D1998">
        <v>42578</v>
      </c>
      <c r="E1998">
        <v>270</v>
      </c>
    </row>
    <row r="1999" spans="1:5" x14ac:dyDescent="0.25">
      <c r="A1999" t="s">
        <v>1239</v>
      </c>
      <c r="B1999" t="str">
        <f>VLOOKUP(Counties_by_State_Code[[#This Row],[State_Code]],Territory_by_Code[],2)</f>
        <v>North Carolina</v>
      </c>
      <c r="C1999" t="s">
        <v>1299</v>
      </c>
      <c r="D1999">
        <v>1129410</v>
      </c>
      <c r="E1999">
        <v>857</v>
      </c>
    </row>
    <row r="2000" spans="1:5" x14ac:dyDescent="0.25">
      <c r="A2000" t="s">
        <v>1239</v>
      </c>
      <c r="B2000" t="str">
        <f>VLOOKUP(Counties_by_State_Code[[#This Row],[State_Code]],Territory_by_Code[],2)</f>
        <v>North Carolina</v>
      </c>
      <c r="C2000" t="s">
        <v>467</v>
      </c>
      <c r="D2000">
        <v>18642</v>
      </c>
      <c r="E2000">
        <v>444</v>
      </c>
    </row>
    <row r="2001" spans="1:5" x14ac:dyDescent="0.25">
      <c r="A2001" t="s">
        <v>1239</v>
      </c>
      <c r="B2001" t="str">
        <f>VLOOKUP(Counties_by_State_Code[[#This Row],[State_Code]],Territory_by_Code[],2)</f>
        <v>North Carolina</v>
      </c>
      <c r="C2001" t="s">
        <v>65</v>
      </c>
      <c r="D2001">
        <v>11003</v>
      </c>
      <c r="E2001">
        <v>424</v>
      </c>
    </row>
    <row r="2002" spans="1:5" x14ac:dyDescent="0.25">
      <c r="A2002" t="s">
        <v>1239</v>
      </c>
      <c r="B2002" t="str">
        <f>VLOOKUP(Counties_by_State_Code[[#This Row],[State_Code]],Territory_by_Code[],2)</f>
        <v>North Carolina</v>
      </c>
      <c r="C2002" t="s">
        <v>1300</v>
      </c>
      <c r="D2002">
        <v>54086</v>
      </c>
      <c r="E2002">
        <v>313</v>
      </c>
    </row>
    <row r="2003" spans="1:5" x14ac:dyDescent="0.25">
      <c r="A2003" t="s">
        <v>1239</v>
      </c>
      <c r="B2003" t="str">
        <f>VLOOKUP(Counties_by_State_Code[[#This Row],[State_Code]],Territory_by_Code[],2)</f>
        <v>North Carolina</v>
      </c>
      <c r="C2003" t="s">
        <v>468</v>
      </c>
      <c r="D2003">
        <v>117333</v>
      </c>
      <c r="E2003">
        <v>557</v>
      </c>
    </row>
    <row r="2004" spans="1:5" x14ac:dyDescent="0.25">
      <c r="A2004" t="s">
        <v>1239</v>
      </c>
      <c r="B2004" t="str">
        <f>VLOOKUP(Counties_by_State_Code[[#This Row],[State_Code]],Territory_by_Code[],2)</f>
        <v>North Carolina</v>
      </c>
      <c r="C2004" t="s">
        <v>472</v>
      </c>
      <c r="D2004">
        <v>65969</v>
      </c>
      <c r="E2004">
        <v>760</v>
      </c>
    </row>
    <row r="2005" spans="1:5" x14ac:dyDescent="0.25">
      <c r="A2005" t="s">
        <v>1239</v>
      </c>
      <c r="B2005" t="str">
        <f>VLOOKUP(Counties_by_State_Code[[#This Row],[State_Code]],Territory_by_Code[],2)</f>
        <v>North Carolina</v>
      </c>
      <c r="C2005" t="s">
        <v>725</v>
      </c>
      <c r="D2005">
        <v>78784</v>
      </c>
      <c r="E2005">
        <v>374</v>
      </c>
    </row>
    <row r="2006" spans="1:5" x14ac:dyDescent="0.25">
      <c r="A2006" t="s">
        <v>1239</v>
      </c>
      <c r="B2006" t="str">
        <f>VLOOKUP(Counties_by_State_Code[[#This Row],[State_Code]],Territory_by_Code[],2)</f>
        <v>North Carolina</v>
      </c>
      <c r="C2006" t="s">
        <v>1301</v>
      </c>
      <c r="D2006">
        <v>37214</v>
      </c>
      <c r="E2006">
        <v>337</v>
      </c>
    </row>
    <row r="2007" spans="1:5" x14ac:dyDescent="0.25">
      <c r="A2007" t="s">
        <v>1239</v>
      </c>
      <c r="B2007" t="str">
        <f>VLOOKUP(Counties_by_State_Code[[#This Row],[State_Code]],Territory_by_Code[],2)</f>
        <v>North Carolina</v>
      </c>
      <c r="C2007" t="s">
        <v>1302</v>
      </c>
      <c r="D2007">
        <v>18470</v>
      </c>
      <c r="E2007">
        <v>313</v>
      </c>
    </row>
    <row r="2008" spans="1:5" x14ac:dyDescent="0.25">
      <c r="A2008" t="s">
        <v>1303</v>
      </c>
      <c r="B2008" t="str">
        <f>VLOOKUP(Counties_by_State_Code[[#This Row],[State_Code]],Territory_by_Code[],2)</f>
        <v>North Dakota</v>
      </c>
      <c r="C2008" t="s">
        <v>236</v>
      </c>
      <c r="D2008">
        <v>2200</v>
      </c>
      <c r="E2008">
        <v>988</v>
      </c>
    </row>
    <row r="2009" spans="1:5" x14ac:dyDescent="0.25">
      <c r="A2009" t="s">
        <v>1303</v>
      </c>
      <c r="B2009" t="str">
        <f>VLOOKUP(Counties_by_State_Code[[#This Row],[State_Code]],Territory_by_Code[],2)</f>
        <v>North Dakota</v>
      </c>
      <c r="C2009" t="s">
        <v>1304</v>
      </c>
      <c r="D2009">
        <v>10853</v>
      </c>
      <c r="E2009">
        <v>1492</v>
      </c>
    </row>
    <row r="2010" spans="1:5" x14ac:dyDescent="0.25">
      <c r="A2010" t="s">
        <v>1303</v>
      </c>
      <c r="B2010" t="str">
        <f>VLOOKUP(Counties_by_State_Code[[#This Row],[State_Code]],Territory_by_Code[],2)</f>
        <v>North Dakota</v>
      </c>
      <c r="C2010" t="s">
        <v>1305</v>
      </c>
      <c r="D2010">
        <v>5964</v>
      </c>
      <c r="E2010">
        <v>1389</v>
      </c>
    </row>
    <row r="2011" spans="1:5" x14ac:dyDescent="0.25">
      <c r="A2011" t="s">
        <v>1303</v>
      </c>
      <c r="B2011" t="str">
        <f>VLOOKUP(Counties_by_State_Code[[#This Row],[State_Code]],Territory_by_Code[],2)</f>
        <v>North Dakota</v>
      </c>
      <c r="C2011" t="s">
        <v>1306</v>
      </c>
      <c r="D2011">
        <v>945</v>
      </c>
      <c r="E2011">
        <v>1152</v>
      </c>
    </row>
    <row r="2012" spans="1:5" x14ac:dyDescent="0.25">
      <c r="A2012" t="s">
        <v>1303</v>
      </c>
      <c r="B2012" t="str">
        <f>VLOOKUP(Counties_by_State_Code[[#This Row],[State_Code]],Territory_by_Code[],2)</f>
        <v>North Dakota</v>
      </c>
      <c r="C2012" t="s">
        <v>1307</v>
      </c>
      <c r="D2012">
        <v>6379</v>
      </c>
      <c r="E2012">
        <v>1669</v>
      </c>
    </row>
    <row r="2013" spans="1:5" x14ac:dyDescent="0.25">
      <c r="A2013" t="s">
        <v>1303</v>
      </c>
      <c r="B2013" t="str">
        <f>VLOOKUP(Counties_by_State_Code[[#This Row],[State_Code]],Territory_by_Code[],2)</f>
        <v>North Dakota</v>
      </c>
      <c r="C2013" t="s">
        <v>1308</v>
      </c>
      <c r="D2013">
        <v>2993</v>
      </c>
      <c r="E2013">
        <v>1162</v>
      </c>
    </row>
    <row r="2014" spans="1:5" x14ac:dyDescent="0.25">
      <c r="A2014" t="s">
        <v>1303</v>
      </c>
      <c r="B2014" t="str">
        <f>VLOOKUP(Counties_by_State_Code[[#This Row],[State_Code]],Territory_by_Code[],2)</f>
        <v>North Dakota</v>
      </c>
      <c r="C2014" t="s">
        <v>380</v>
      </c>
      <c r="D2014">
        <v>2201</v>
      </c>
      <c r="E2014">
        <v>1104</v>
      </c>
    </row>
    <row r="2015" spans="1:5" x14ac:dyDescent="0.25">
      <c r="A2015" t="s">
        <v>1303</v>
      </c>
      <c r="B2015" t="str">
        <f>VLOOKUP(Counties_by_State_Code[[#This Row],[State_Code]],Territory_by_Code[],2)</f>
        <v>North Dakota</v>
      </c>
      <c r="C2015" t="s">
        <v>1309</v>
      </c>
      <c r="D2015">
        <v>98458</v>
      </c>
      <c r="E2015">
        <v>1633</v>
      </c>
    </row>
    <row r="2016" spans="1:5" x14ac:dyDescent="0.25">
      <c r="A2016" t="s">
        <v>1303</v>
      </c>
      <c r="B2016" t="str">
        <f>VLOOKUP(Counties_by_State_Code[[#This Row],[State_Code]],Territory_by_Code[],2)</f>
        <v>North Dakota</v>
      </c>
      <c r="C2016" t="s">
        <v>522</v>
      </c>
      <c r="D2016">
        <v>184525</v>
      </c>
      <c r="E2016">
        <v>1766</v>
      </c>
    </row>
    <row r="2017" spans="1:5" x14ac:dyDescent="0.25">
      <c r="A2017" t="s">
        <v>1303</v>
      </c>
      <c r="B2017" t="str">
        <f>VLOOKUP(Counties_by_State_Code[[#This Row],[State_Code]],Territory_by_Code[],2)</f>
        <v>North Dakota</v>
      </c>
      <c r="C2017" t="s">
        <v>1310</v>
      </c>
      <c r="D2017">
        <v>3704</v>
      </c>
      <c r="E2017">
        <v>1489</v>
      </c>
    </row>
    <row r="2018" spans="1:5" x14ac:dyDescent="0.25">
      <c r="A2018" t="s">
        <v>1303</v>
      </c>
      <c r="B2018" t="str">
        <f>VLOOKUP(Counties_by_State_Code[[#This Row],[State_Code]],Territory_by_Code[],2)</f>
        <v>North Dakota</v>
      </c>
      <c r="C2018" t="s">
        <v>1311</v>
      </c>
      <c r="D2018">
        <v>4999</v>
      </c>
      <c r="E2018">
        <v>1131</v>
      </c>
    </row>
    <row r="2019" spans="1:5" x14ac:dyDescent="0.25">
      <c r="A2019" t="s">
        <v>1303</v>
      </c>
      <c r="B2019" t="str">
        <f>VLOOKUP(Counties_by_State_Code[[#This Row],[State_Code]],Territory_by_Code[],2)</f>
        <v>North Dakota</v>
      </c>
      <c r="C2019" t="s">
        <v>1312</v>
      </c>
      <c r="D2019">
        <v>2195</v>
      </c>
      <c r="E2019">
        <v>1259</v>
      </c>
    </row>
    <row r="2020" spans="1:5" x14ac:dyDescent="0.25">
      <c r="A2020" t="s">
        <v>1303</v>
      </c>
      <c r="B2020" t="str">
        <f>VLOOKUP(Counties_by_State_Code[[#This Row],[State_Code]],Territory_by_Code[],2)</f>
        <v>North Dakota</v>
      </c>
      <c r="C2020" t="s">
        <v>1313</v>
      </c>
      <c r="D2020">
        <v>4095</v>
      </c>
      <c r="E2020">
        <v>2010</v>
      </c>
    </row>
    <row r="2021" spans="1:5" x14ac:dyDescent="0.25">
      <c r="A2021" t="s">
        <v>1303</v>
      </c>
      <c r="B2021" t="str">
        <f>VLOOKUP(Counties_by_State_Code[[#This Row],[State_Code]],Territory_by_Code[],2)</f>
        <v>North Dakota</v>
      </c>
      <c r="C2021" t="s">
        <v>1190</v>
      </c>
      <c r="D2021">
        <v>2347</v>
      </c>
      <c r="E2021">
        <v>632</v>
      </c>
    </row>
    <row r="2022" spans="1:5" x14ac:dyDescent="0.25">
      <c r="A2022" t="s">
        <v>1303</v>
      </c>
      <c r="B2022" t="str">
        <f>VLOOKUP(Counties_by_State_Code[[#This Row],[State_Code]],Territory_by_Code[],2)</f>
        <v>North Dakota</v>
      </c>
      <c r="C2022" t="s">
        <v>1314</v>
      </c>
      <c r="D2022">
        <v>3301</v>
      </c>
      <c r="E2022">
        <v>1510</v>
      </c>
    </row>
    <row r="2023" spans="1:5" x14ac:dyDescent="0.25">
      <c r="A2023" t="s">
        <v>1303</v>
      </c>
      <c r="B2023" t="str">
        <f>VLOOKUP(Counties_by_State_Code[[#This Row],[State_Code]],Territory_by_Code[],2)</f>
        <v>North Dakota</v>
      </c>
      <c r="C2023" t="s">
        <v>1315</v>
      </c>
      <c r="D2023">
        <v>3397</v>
      </c>
      <c r="E2023">
        <v>635</v>
      </c>
    </row>
    <row r="2024" spans="1:5" x14ac:dyDescent="0.25">
      <c r="A2024" t="s">
        <v>1303</v>
      </c>
      <c r="B2024" t="str">
        <f>VLOOKUP(Counties_by_State_Code[[#This Row],[State_Code]],Territory_by_Code[],2)</f>
        <v>North Dakota</v>
      </c>
      <c r="C2024" t="s">
        <v>1085</v>
      </c>
      <c r="D2024">
        <v>1736</v>
      </c>
      <c r="E2024">
        <v>1002</v>
      </c>
    </row>
    <row r="2025" spans="1:5" x14ac:dyDescent="0.25">
      <c r="A2025" t="s">
        <v>1303</v>
      </c>
      <c r="B2025" t="str">
        <f>VLOOKUP(Counties_by_State_Code[[#This Row],[State_Code]],Territory_by_Code[],2)</f>
        <v>North Dakota</v>
      </c>
      <c r="C2025" t="s">
        <v>1316</v>
      </c>
      <c r="D2025">
        <v>73170</v>
      </c>
      <c r="E2025">
        <v>1438</v>
      </c>
    </row>
    <row r="2026" spans="1:5" x14ac:dyDescent="0.25">
      <c r="A2026" t="s">
        <v>1303</v>
      </c>
      <c r="B2026" t="str">
        <f>VLOOKUP(Counties_by_State_Code[[#This Row],[State_Code]],Territory_by_Code[],2)</f>
        <v>North Dakota</v>
      </c>
      <c r="C2026" t="s">
        <v>143</v>
      </c>
      <c r="D2026">
        <v>2301</v>
      </c>
      <c r="E2026">
        <v>1660</v>
      </c>
    </row>
    <row r="2027" spans="1:5" x14ac:dyDescent="0.25">
      <c r="A2027" t="s">
        <v>1303</v>
      </c>
      <c r="B2027" t="str">
        <f>VLOOKUP(Counties_by_State_Code[[#This Row],[State_Code]],Territory_by_Code[],2)</f>
        <v>North Dakota</v>
      </c>
      <c r="C2027" t="s">
        <v>1317</v>
      </c>
      <c r="D2027">
        <v>2306</v>
      </c>
      <c r="E2027">
        <v>708</v>
      </c>
    </row>
    <row r="2028" spans="1:5" x14ac:dyDescent="0.25">
      <c r="A2028" t="s">
        <v>1303</v>
      </c>
      <c r="B2028" t="str">
        <f>VLOOKUP(Counties_by_State_Code[[#This Row],[State_Code]],Territory_by_Code[],2)</f>
        <v>North Dakota</v>
      </c>
      <c r="C2028" t="s">
        <v>1318</v>
      </c>
      <c r="D2028">
        <v>2489</v>
      </c>
      <c r="E2028">
        <v>1132</v>
      </c>
    </row>
    <row r="2029" spans="1:5" x14ac:dyDescent="0.25">
      <c r="A2029" t="s">
        <v>1303</v>
      </c>
      <c r="B2029" t="str">
        <f>VLOOKUP(Counties_by_State_Code[[#This Row],[State_Code]],Territory_by_Code[],2)</f>
        <v>North Dakota</v>
      </c>
      <c r="C2029" t="s">
        <v>1319</v>
      </c>
      <c r="D2029">
        <v>2394</v>
      </c>
      <c r="E2029">
        <v>1352</v>
      </c>
    </row>
    <row r="2030" spans="1:5" x14ac:dyDescent="0.25">
      <c r="A2030" t="s">
        <v>1303</v>
      </c>
      <c r="B2030" t="str">
        <f>VLOOKUP(Counties_by_State_Code[[#This Row],[State_Code]],Territory_by_Code[],2)</f>
        <v>North Dakota</v>
      </c>
      <c r="C2030" t="s">
        <v>1320</v>
      </c>
      <c r="D2030">
        <v>4093</v>
      </c>
      <c r="E2030">
        <v>1147</v>
      </c>
    </row>
    <row r="2031" spans="1:5" x14ac:dyDescent="0.25">
      <c r="A2031" t="s">
        <v>1303</v>
      </c>
      <c r="B2031" t="str">
        <f>VLOOKUP(Counties_by_State_Code[[#This Row],[State_Code]],Territory_by_Code[],2)</f>
        <v>North Dakota</v>
      </c>
      <c r="C2031" t="s">
        <v>153</v>
      </c>
      <c r="D2031">
        <v>1876</v>
      </c>
      <c r="E2031">
        <v>993</v>
      </c>
    </row>
    <row r="2032" spans="1:5" x14ac:dyDescent="0.25">
      <c r="A2032" t="s">
        <v>1303</v>
      </c>
      <c r="B2032" t="str">
        <f>VLOOKUP(Counties_by_State_Code[[#This Row],[State_Code]],Territory_by_Code[],2)</f>
        <v>North Dakota</v>
      </c>
      <c r="C2032" t="s">
        <v>550</v>
      </c>
      <c r="D2032">
        <v>5345</v>
      </c>
      <c r="E2032">
        <v>1874</v>
      </c>
    </row>
    <row r="2033" spans="1:5" x14ac:dyDescent="0.25">
      <c r="A2033" t="s">
        <v>1303</v>
      </c>
      <c r="B2033" t="str">
        <f>VLOOKUP(Counties_by_State_Code[[#This Row],[State_Code]],Territory_by_Code[],2)</f>
        <v>North Dakota</v>
      </c>
      <c r="C2033" t="s">
        <v>433</v>
      </c>
      <c r="D2033">
        <v>2530</v>
      </c>
      <c r="E2033">
        <v>975</v>
      </c>
    </row>
    <row r="2034" spans="1:5" x14ac:dyDescent="0.25">
      <c r="A2034" t="s">
        <v>1303</v>
      </c>
      <c r="B2034" t="str">
        <f>VLOOKUP(Counties_by_State_Code[[#This Row],[State_Code]],Territory_by_Code[],2)</f>
        <v>North Dakota</v>
      </c>
      <c r="C2034" t="s">
        <v>1321</v>
      </c>
      <c r="D2034">
        <v>14704</v>
      </c>
      <c r="E2034">
        <v>2742</v>
      </c>
    </row>
    <row r="2035" spans="1:5" x14ac:dyDescent="0.25">
      <c r="A2035" t="s">
        <v>1303</v>
      </c>
      <c r="B2035" t="str">
        <f>VLOOKUP(Counties_by_State_Code[[#This Row],[State_Code]],Territory_by_Code[],2)</f>
        <v>North Dakota</v>
      </c>
      <c r="C2035" t="s">
        <v>551</v>
      </c>
      <c r="D2035">
        <v>9771</v>
      </c>
      <c r="E2035">
        <v>2110</v>
      </c>
    </row>
    <row r="2036" spans="1:5" x14ac:dyDescent="0.25">
      <c r="A2036" t="s">
        <v>1303</v>
      </c>
      <c r="B2036" t="str">
        <f>VLOOKUP(Counties_by_State_Code[[#This Row],[State_Code]],Territory_by_Code[],2)</f>
        <v>North Dakota</v>
      </c>
      <c r="C2036" t="s">
        <v>553</v>
      </c>
      <c r="D2036">
        <v>8350</v>
      </c>
      <c r="E2036">
        <v>1045</v>
      </c>
    </row>
    <row r="2037" spans="1:5" x14ac:dyDescent="0.25">
      <c r="A2037" t="s">
        <v>1303</v>
      </c>
      <c r="B2037" t="str">
        <f>VLOOKUP(Counties_by_State_Code[[#This Row],[State_Code]],Territory_by_Code[],2)</f>
        <v>North Dakota</v>
      </c>
      <c r="C2037" t="s">
        <v>695</v>
      </c>
      <c r="D2037">
        <v>33291</v>
      </c>
      <c r="E2037">
        <v>1926</v>
      </c>
    </row>
    <row r="2038" spans="1:5" x14ac:dyDescent="0.25">
      <c r="A2038" t="s">
        <v>1303</v>
      </c>
      <c r="B2038" t="str">
        <f>VLOOKUP(Counties_by_State_Code[[#This Row],[State_Code]],Territory_by_Code[],2)</f>
        <v>North Dakota</v>
      </c>
      <c r="C2038" t="s">
        <v>1322</v>
      </c>
      <c r="D2038">
        <v>9809</v>
      </c>
      <c r="E2038">
        <v>1824</v>
      </c>
    </row>
    <row r="2039" spans="1:5" x14ac:dyDescent="0.25">
      <c r="A2039" t="s">
        <v>1303</v>
      </c>
      <c r="B2039" t="str">
        <f>VLOOKUP(Counties_by_State_Code[[#This Row],[State_Code]],Territory_by_Code[],2)</f>
        <v>North Dakota</v>
      </c>
      <c r="C2039" t="s">
        <v>770</v>
      </c>
      <c r="D2039">
        <v>3015</v>
      </c>
      <c r="E2039">
        <v>982</v>
      </c>
    </row>
    <row r="2040" spans="1:5" x14ac:dyDescent="0.25">
      <c r="A2040" t="s">
        <v>1303</v>
      </c>
      <c r="B2040" t="str">
        <f>VLOOKUP(Counties_by_State_Code[[#This Row],[State_Code]],Territory_by_Code[],2)</f>
        <v>North Dakota</v>
      </c>
      <c r="C2040" t="s">
        <v>1323</v>
      </c>
      <c r="D2040">
        <v>1877</v>
      </c>
      <c r="E2040">
        <v>724</v>
      </c>
    </row>
    <row r="2041" spans="1:5" x14ac:dyDescent="0.25">
      <c r="A2041" t="s">
        <v>1303</v>
      </c>
      <c r="B2041" t="str">
        <f>VLOOKUP(Counties_by_State_Code[[#This Row],[State_Code]],Territory_by_Code[],2)</f>
        <v>North Dakota</v>
      </c>
      <c r="C2041" t="s">
        <v>1324</v>
      </c>
      <c r="D2041">
        <v>6844</v>
      </c>
      <c r="E2041">
        <v>1119</v>
      </c>
    </row>
    <row r="2042" spans="1:5" x14ac:dyDescent="0.25">
      <c r="A2042" t="s">
        <v>1303</v>
      </c>
      <c r="B2042" t="str">
        <f>VLOOKUP(Counties_by_State_Code[[#This Row],[State_Code]],Territory_by_Code[],2)</f>
        <v>North Dakota</v>
      </c>
      <c r="C2042" t="s">
        <v>442</v>
      </c>
      <c r="D2042">
        <v>3990</v>
      </c>
      <c r="E2042">
        <v>1018</v>
      </c>
    </row>
    <row r="2043" spans="1:5" x14ac:dyDescent="0.25">
      <c r="A2043" t="s">
        <v>1303</v>
      </c>
      <c r="B2043" t="str">
        <f>VLOOKUP(Counties_by_State_Code[[#This Row],[State_Code]],Territory_by_Code[],2)</f>
        <v>North Dakota</v>
      </c>
      <c r="C2043" t="s">
        <v>977</v>
      </c>
      <c r="D2043">
        <v>11605</v>
      </c>
      <c r="E2043">
        <v>1186</v>
      </c>
    </row>
    <row r="2044" spans="1:5" x14ac:dyDescent="0.25">
      <c r="A2044" t="s">
        <v>1303</v>
      </c>
      <c r="B2044" t="str">
        <f>VLOOKUP(Counties_by_State_Code[[#This Row],[State_Code]],Territory_by_Code[],2)</f>
        <v>North Dakota</v>
      </c>
      <c r="C2044" t="s">
        <v>1325</v>
      </c>
      <c r="D2044">
        <v>5703</v>
      </c>
      <c r="E2044">
        <v>863</v>
      </c>
    </row>
    <row r="2045" spans="1:5" x14ac:dyDescent="0.25">
      <c r="A2045" t="s">
        <v>1303</v>
      </c>
      <c r="B2045" t="str">
        <f>VLOOKUP(Counties_by_State_Code[[#This Row],[State_Code]],Territory_by_Code[],2)</f>
        <v>North Dakota</v>
      </c>
      <c r="C2045" t="s">
        <v>980</v>
      </c>
      <c r="D2045">
        <v>2282</v>
      </c>
      <c r="E2045">
        <v>875</v>
      </c>
    </row>
    <row r="2046" spans="1:5" x14ac:dyDescent="0.25">
      <c r="A2046" t="s">
        <v>1303</v>
      </c>
      <c r="B2046" t="str">
        <f>VLOOKUP(Counties_by_State_Code[[#This Row],[State_Code]],Territory_by_Code[],2)</f>
        <v>North Dakota</v>
      </c>
      <c r="C2046" t="s">
        <v>558</v>
      </c>
      <c r="D2046">
        <v>16529</v>
      </c>
      <c r="E2046">
        <v>1437</v>
      </c>
    </row>
    <row r="2047" spans="1:5" x14ac:dyDescent="0.25">
      <c r="A2047" t="s">
        <v>1303</v>
      </c>
      <c r="B2047" t="str">
        <f>VLOOKUP(Counties_by_State_Code[[#This Row],[State_Code]],Territory_by_Code[],2)</f>
        <v>North Dakota</v>
      </c>
      <c r="C2047" t="s">
        <v>1326</v>
      </c>
      <c r="D2047">
        <v>12187</v>
      </c>
      <c r="E2047">
        <v>902</v>
      </c>
    </row>
    <row r="2048" spans="1:5" x14ac:dyDescent="0.25">
      <c r="A2048" t="s">
        <v>1303</v>
      </c>
      <c r="B2048" t="str">
        <f>VLOOKUP(Counties_by_State_Code[[#This Row],[State_Code]],Territory_by_Code[],2)</f>
        <v>North Dakota</v>
      </c>
      <c r="C2048" t="s">
        <v>1327</v>
      </c>
      <c r="D2048">
        <v>3862</v>
      </c>
      <c r="E2048">
        <v>859</v>
      </c>
    </row>
    <row r="2049" spans="1:5" x14ac:dyDescent="0.25">
      <c r="A2049" t="s">
        <v>1303</v>
      </c>
      <c r="B2049" t="str">
        <f>VLOOKUP(Counties_by_State_Code[[#This Row],[State_Code]],Territory_by_Code[],2)</f>
        <v>North Dakota</v>
      </c>
      <c r="C2049" t="s">
        <v>714</v>
      </c>
      <c r="D2049">
        <v>1265</v>
      </c>
      <c r="E2049">
        <v>972</v>
      </c>
    </row>
    <row r="2050" spans="1:5" x14ac:dyDescent="0.25">
      <c r="A2050" t="s">
        <v>1303</v>
      </c>
      <c r="B2050" t="str">
        <f>VLOOKUP(Counties_by_State_Code[[#This Row],[State_Code]],Territory_by_Code[],2)</f>
        <v>North Dakota</v>
      </c>
      <c r="C2050" t="s">
        <v>653</v>
      </c>
      <c r="D2050">
        <v>3898</v>
      </c>
      <c r="E2050">
        <v>1094</v>
      </c>
    </row>
    <row r="2051" spans="1:5" x14ac:dyDescent="0.25">
      <c r="A2051" t="s">
        <v>1303</v>
      </c>
      <c r="B2051" t="str">
        <f>VLOOKUP(Counties_by_State_Code[[#This Row],[State_Code]],Territory_by_Code[],2)</f>
        <v>North Dakota</v>
      </c>
      <c r="C2051" t="s">
        <v>1328</v>
      </c>
      <c r="D2051">
        <v>706</v>
      </c>
      <c r="E2051">
        <v>1218</v>
      </c>
    </row>
    <row r="2052" spans="1:5" x14ac:dyDescent="0.25">
      <c r="A2052" t="s">
        <v>1303</v>
      </c>
      <c r="B2052" t="str">
        <f>VLOOKUP(Counties_by_State_Code[[#This Row],[State_Code]],Territory_by_Code[],2)</f>
        <v>North Dakota</v>
      </c>
      <c r="C2052" t="s">
        <v>562</v>
      </c>
      <c r="D2052">
        <v>33646</v>
      </c>
      <c r="E2052">
        <v>1338</v>
      </c>
    </row>
    <row r="2053" spans="1:5" x14ac:dyDescent="0.25">
      <c r="A2053" t="s">
        <v>1303</v>
      </c>
      <c r="B2053" t="str">
        <f>VLOOKUP(Counties_by_State_Code[[#This Row],[State_Code]],Territory_by_Code[],2)</f>
        <v>North Dakota</v>
      </c>
      <c r="C2053" t="s">
        <v>987</v>
      </c>
      <c r="D2053">
        <v>1798</v>
      </c>
      <c r="E2053">
        <v>712</v>
      </c>
    </row>
    <row r="2054" spans="1:5" x14ac:dyDescent="0.25">
      <c r="A2054" t="s">
        <v>1303</v>
      </c>
      <c r="B2054" t="str">
        <f>VLOOKUP(Counties_by_State_Code[[#This Row],[State_Code]],Territory_by_Code[],2)</f>
        <v>North Dakota</v>
      </c>
      <c r="C2054" t="s">
        <v>1329</v>
      </c>
      <c r="D2054">
        <v>21593</v>
      </c>
      <c r="E2054">
        <v>2222</v>
      </c>
    </row>
    <row r="2055" spans="1:5" x14ac:dyDescent="0.25">
      <c r="A2055" t="s">
        <v>1303</v>
      </c>
      <c r="B2055" t="str">
        <f>VLOOKUP(Counties_by_State_Code[[#This Row],[State_Code]],Territory_by_Code[],2)</f>
        <v>North Dakota</v>
      </c>
      <c r="C2055" t="s">
        <v>1330</v>
      </c>
      <c r="D2055">
        <v>2162</v>
      </c>
      <c r="E2055">
        <v>1025</v>
      </c>
    </row>
    <row r="2056" spans="1:5" x14ac:dyDescent="0.25">
      <c r="A2056" t="s">
        <v>1303</v>
      </c>
      <c r="B2056" t="str">
        <f>VLOOKUP(Counties_by_State_Code[[#This Row],[State_Code]],Territory_by_Code[],2)</f>
        <v>North Dakota</v>
      </c>
      <c r="C2056" t="s">
        <v>1331</v>
      </c>
      <c r="D2056">
        <v>7997</v>
      </c>
      <c r="E2056">
        <v>862</v>
      </c>
    </row>
    <row r="2057" spans="1:5" x14ac:dyDescent="0.25">
      <c r="A2057" t="s">
        <v>1303</v>
      </c>
      <c r="B2057" t="str">
        <f>VLOOKUP(Counties_by_State_Code[[#This Row],[State_Code]],Territory_by_Code[],2)</f>
        <v>North Dakota</v>
      </c>
      <c r="C2057" t="s">
        <v>1332</v>
      </c>
      <c r="D2057">
        <v>10563</v>
      </c>
      <c r="E2057">
        <v>1282</v>
      </c>
    </row>
    <row r="2058" spans="1:5" x14ac:dyDescent="0.25">
      <c r="A2058" t="s">
        <v>1303</v>
      </c>
      <c r="B2058" t="str">
        <f>VLOOKUP(Counties_by_State_Code[[#This Row],[State_Code]],Territory_by_Code[],2)</f>
        <v>North Dakota</v>
      </c>
      <c r="C2058" t="s">
        <v>1333</v>
      </c>
      <c r="D2058">
        <v>69919</v>
      </c>
      <c r="E2058">
        <v>2013</v>
      </c>
    </row>
    <row r="2059" spans="1:5" x14ac:dyDescent="0.25">
      <c r="A2059" t="s">
        <v>1303</v>
      </c>
      <c r="B2059" t="str">
        <f>VLOOKUP(Counties_by_State_Code[[#This Row],[State_Code]],Territory_by_Code[],2)</f>
        <v>North Dakota</v>
      </c>
      <c r="C2059" t="s">
        <v>612</v>
      </c>
      <c r="D2059">
        <v>3982</v>
      </c>
      <c r="E2059">
        <v>1271</v>
      </c>
    </row>
    <row r="2060" spans="1:5" x14ac:dyDescent="0.25">
      <c r="A2060" t="s">
        <v>1303</v>
      </c>
      <c r="B2060" t="str">
        <f>VLOOKUP(Counties_by_State_Code[[#This Row],[State_Code]],Territory_by_Code[],2)</f>
        <v>North Dakota</v>
      </c>
      <c r="C2060" t="s">
        <v>1334</v>
      </c>
      <c r="D2060">
        <v>40950</v>
      </c>
      <c r="E2060">
        <v>2071</v>
      </c>
    </row>
    <row r="2061" spans="1:5" x14ac:dyDescent="0.25">
      <c r="A2061" t="s">
        <v>1336</v>
      </c>
      <c r="B2061" t="str">
        <f>VLOOKUP(Counties_by_State_Code[[#This Row],[State_Code]],Territory_by_Code[],2)</f>
        <v>Northern Mariana Islands</v>
      </c>
      <c r="C2061" t="s">
        <v>1335</v>
      </c>
      <c r="D2061">
        <v>0</v>
      </c>
      <c r="E2061">
        <v>59.75</v>
      </c>
    </row>
    <row r="2062" spans="1:5" x14ac:dyDescent="0.25">
      <c r="A2062" t="s">
        <v>1336</v>
      </c>
      <c r="B2062" t="str">
        <f>VLOOKUP(Counties_by_State_Code[[#This Row],[State_Code]],Territory_by_Code[],2)</f>
        <v>Northern Mariana Islands</v>
      </c>
      <c r="C2062" t="s">
        <v>1337</v>
      </c>
      <c r="D2062">
        <v>2477</v>
      </c>
      <c r="E2062">
        <v>32.97</v>
      </c>
    </row>
    <row r="2063" spans="1:5" x14ac:dyDescent="0.25">
      <c r="A2063" t="s">
        <v>1336</v>
      </c>
      <c r="B2063" t="str">
        <f>VLOOKUP(Counties_by_State_Code[[#This Row],[State_Code]],Territory_by_Code[],2)</f>
        <v>Northern Mariana Islands</v>
      </c>
      <c r="C2063" t="s">
        <v>1338</v>
      </c>
      <c r="D2063">
        <v>48220</v>
      </c>
      <c r="E2063">
        <v>44.55</v>
      </c>
    </row>
    <row r="2064" spans="1:5" x14ac:dyDescent="0.25">
      <c r="A2064" t="s">
        <v>1336</v>
      </c>
      <c r="B2064" t="str">
        <f>VLOOKUP(Counties_by_State_Code[[#This Row],[State_Code]],Territory_by_Code[],2)</f>
        <v>Northern Mariana Islands</v>
      </c>
      <c r="C2064" t="s">
        <v>1339</v>
      </c>
      <c r="D2064">
        <v>3136</v>
      </c>
      <c r="E2064">
        <v>39</v>
      </c>
    </row>
    <row r="2065" spans="1:5" x14ac:dyDescent="0.25">
      <c r="A2065" t="s">
        <v>1340</v>
      </c>
      <c r="B2065" t="str">
        <f>VLOOKUP(Counties_by_State_Code[[#This Row],[State_Code]],Territory_by_Code[],2)</f>
        <v>Ohio</v>
      </c>
      <c r="C2065" t="s">
        <v>236</v>
      </c>
      <c r="D2065">
        <v>27477</v>
      </c>
      <c r="E2065">
        <v>583.91</v>
      </c>
    </row>
    <row r="2066" spans="1:5" x14ac:dyDescent="0.25">
      <c r="A2066" t="s">
        <v>1340</v>
      </c>
      <c r="B2066" t="str">
        <f>VLOOKUP(Counties_by_State_Code[[#This Row],[State_Code]],Territory_by_Code[],2)</f>
        <v>Ohio</v>
      </c>
      <c r="C2066" t="s">
        <v>573</v>
      </c>
      <c r="D2066">
        <v>102206</v>
      </c>
      <c r="E2066">
        <v>404.43</v>
      </c>
    </row>
    <row r="2067" spans="1:5" x14ac:dyDescent="0.25">
      <c r="A2067" t="s">
        <v>1340</v>
      </c>
      <c r="B2067" t="str">
        <f>VLOOKUP(Counties_by_State_Code[[#This Row],[State_Code]],Territory_by_Code[],2)</f>
        <v>Ohio</v>
      </c>
      <c r="C2067" t="s">
        <v>1341</v>
      </c>
      <c r="D2067">
        <v>52447</v>
      </c>
      <c r="E2067">
        <v>424.37</v>
      </c>
    </row>
    <row r="2068" spans="1:5" x14ac:dyDescent="0.25">
      <c r="A2068" t="s">
        <v>1340</v>
      </c>
      <c r="B2068" t="str">
        <f>VLOOKUP(Counties_by_State_Code[[#This Row],[State_Code]],Territory_by_Code[],2)</f>
        <v>Ohio</v>
      </c>
      <c r="C2068" t="s">
        <v>1342</v>
      </c>
      <c r="D2068">
        <v>97574</v>
      </c>
      <c r="E2068">
        <v>702.44</v>
      </c>
    </row>
    <row r="2069" spans="1:5" x14ac:dyDescent="0.25">
      <c r="A2069" t="s">
        <v>1340</v>
      </c>
      <c r="B2069" t="str">
        <f>VLOOKUP(Counties_by_State_Code[[#This Row],[State_Code]],Territory_by_Code[],2)</f>
        <v>Ohio</v>
      </c>
      <c r="C2069" t="s">
        <v>1343</v>
      </c>
      <c r="D2069">
        <v>62431</v>
      </c>
      <c r="E2069">
        <v>506.76</v>
      </c>
    </row>
    <row r="2070" spans="1:5" x14ac:dyDescent="0.25">
      <c r="A2070" t="s">
        <v>1340</v>
      </c>
      <c r="B2070" t="str">
        <f>VLOOKUP(Counties_by_State_Code[[#This Row],[State_Code]],Territory_by_Code[],2)</f>
        <v>Ohio</v>
      </c>
      <c r="C2070" t="s">
        <v>1344</v>
      </c>
      <c r="D2070">
        <v>46422</v>
      </c>
      <c r="E2070">
        <v>401.25</v>
      </c>
    </row>
    <row r="2071" spans="1:5" x14ac:dyDescent="0.25">
      <c r="A2071" t="s">
        <v>1340</v>
      </c>
      <c r="B2071" t="str">
        <f>VLOOKUP(Counties_by_State_Code[[#This Row],[State_Code]],Territory_by_Code[],2)</f>
        <v>Ohio</v>
      </c>
      <c r="C2071" t="s">
        <v>1345</v>
      </c>
      <c r="D2071">
        <v>66497</v>
      </c>
      <c r="E2071">
        <v>537.35</v>
      </c>
    </row>
    <row r="2072" spans="1:5" x14ac:dyDescent="0.25">
      <c r="A2072" t="s">
        <v>1340</v>
      </c>
      <c r="B2072" t="str">
        <f>VLOOKUP(Counties_by_State_Code[[#This Row],[State_Code]],Territory_by_Code[],2)</f>
        <v>Ohio</v>
      </c>
      <c r="C2072" t="s">
        <v>520</v>
      </c>
      <c r="D2072">
        <v>43676</v>
      </c>
      <c r="E2072">
        <v>491.76</v>
      </c>
    </row>
    <row r="2073" spans="1:5" x14ac:dyDescent="0.25">
      <c r="A2073" t="s">
        <v>1340</v>
      </c>
      <c r="B2073" t="str">
        <f>VLOOKUP(Counties_by_State_Code[[#This Row],[State_Code]],Territory_by_Code[],2)</f>
        <v>Ohio</v>
      </c>
      <c r="C2073" t="s">
        <v>7</v>
      </c>
      <c r="D2073">
        <v>390357</v>
      </c>
      <c r="E2073">
        <v>467.27</v>
      </c>
    </row>
    <row r="2074" spans="1:5" x14ac:dyDescent="0.25">
      <c r="A2074" t="s">
        <v>1340</v>
      </c>
      <c r="B2074" t="str">
        <f>VLOOKUP(Counties_by_State_Code[[#This Row],[State_Code]],Territory_by_Code[],2)</f>
        <v>Ohio</v>
      </c>
      <c r="C2074" t="s">
        <v>128</v>
      </c>
      <c r="D2074">
        <v>26721</v>
      </c>
      <c r="E2074">
        <v>394.67</v>
      </c>
    </row>
    <row r="2075" spans="1:5" x14ac:dyDescent="0.25">
      <c r="A2075" t="s">
        <v>1340</v>
      </c>
      <c r="B2075" t="str">
        <f>VLOOKUP(Counties_by_State_Code[[#This Row],[State_Code]],Territory_by_Code[],2)</f>
        <v>Ohio</v>
      </c>
      <c r="C2075" t="s">
        <v>523</v>
      </c>
      <c r="D2075">
        <v>38714</v>
      </c>
      <c r="E2075">
        <v>428.56</v>
      </c>
    </row>
    <row r="2076" spans="1:5" x14ac:dyDescent="0.25">
      <c r="A2076" t="s">
        <v>1340</v>
      </c>
      <c r="B2076" t="str">
        <f>VLOOKUP(Counties_by_State_Code[[#This Row],[State_Code]],Territory_by_Code[],2)</f>
        <v>Ohio</v>
      </c>
      <c r="C2076" t="s">
        <v>130</v>
      </c>
      <c r="D2076">
        <v>136001</v>
      </c>
      <c r="E2076">
        <v>399.86</v>
      </c>
    </row>
    <row r="2077" spans="1:5" x14ac:dyDescent="0.25">
      <c r="A2077" t="s">
        <v>1340</v>
      </c>
      <c r="B2077" t="str">
        <f>VLOOKUP(Counties_by_State_Code[[#This Row],[State_Code]],Territory_by_Code[],2)</f>
        <v>Ohio</v>
      </c>
      <c r="C2077" t="s">
        <v>1346</v>
      </c>
      <c r="D2077">
        <v>208601</v>
      </c>
      <c r="E2077">
        <v>451.99</v>
      </c>
    </row>
    <row r="2078" spans="1:5" x14ac:dyDescent="0.25">
      <c r="A2078" t="s">
        <v>1340</v>
      </c>
      <c r="B2078" t="str">
        <f>VLOOKUP(Counties_by_State_Code[[#This Row],[State_Code]],Territory_by_Code[],2)</f>
        <v>Ohio</v>
      </c>
      <c r="C2078" t="s">
        <v>525</v>
      </c>
      <c r="D2078">
        <v>42018</v>
      </c>
      <c r="E2078">
        <v>410.88</v>
      </c>
    </row>
    <row r="2079" spans="1:5" x14ac:dyDescent="0.25">
      <c r="A2079" t="s">
        <v>1340</v>
      </c>
      <c r="B2079" t="str">
        <f>VLOOKUP(Counties_by_State_Code[[#This Row],[State_Code]],Territory_by_Code[],2)</f>
        <v>Ohio</v>
      </c>
      <c r="C2079" t="s">
        <v>1347</v>
      </c>
      <c r="D2079">
        <v>101877</v>
      </c>
      <c r="E2079">
        <v>532.46</v>
      </c>
    </row>
    <row r="2080" spans="1:5" x14ac:dyDescent="0.25">
      <c r="A2080" t="s">
        <v>1340</v>
      </c>
      <c r="B2080" t="str">
        <f>VLOOKUP(Counties_by_State_Code[[#This Row],[State_Code]],Territory_by_Code[],2)</f>
        <v>Ohio</v>
      </c>
      <c r="C2080" t="s">
        <v>1348</v>
      </c>
      <c r="D2080">
        <v>36612</v>
      </c>
      <c r="E2080">
        <v>564.07000000000005</v>
      </c>
    </row>
    <row r="2081" spans="1:5" x14ac:dyDescent="0.25">
      <c r="A2081" t="s">
        <v>1340</v>
      </c>
      <c r="B2081" t="str">
        <f>VLOOKUP(Counties_by_State_Code[[#This Row],[State_Code]],Territory_by_Code[],2)</f>
        <v>Ohio</v>
      </c>
      <c r="C2081" t="s">
        <v>135</v>
      </c>
      <c r="D2081">
        <v>42025</v>
      </c>
      <c r="E2081">
        <v>402.11</v>
      </c>
    </row>
    <row r="2082" spans="1:5" x14ac:dyDescent="0.25">
      <c r="A2082" t="s">
        <v>1340</v>
      </c>
      <c r="B2082" t="str">
        <f>VLOOKUP(Counties_by_State_Code[[#This Row],[State_Code]],Territory_by_Code[],2)</f>
        <v>Ohio</v>
      </c>
      <c r="C2082" t="s">
        <v>1349</v>
      </c>
      <c r="D2082">
        <v>1264817</v>
      </c>
      <c r="E2082">
        <v>458.49</v>
      </c>
    </row>
    <row r="2083" spans="1:5" x14ac:dyDescent="0.25">
      <c r="A2083" t="s">
        <v>1340</v>
      </c>
      <c r="B2083" t="str">
        <f>VLOOKUP(Counties_by_State_Code[[#This Row],[State_Code]],Territory_by_Code[],2)</f>
        <v>Ohio</v>
      </c>
      <c r="C2083" t="s">
        <v>1350</v>
      </c>
      <c r="D2083">
        <v>51881</v>
      </c>
      <c r="E2083">
        <v>599.79999999999995</v>
      </c>
    </row>
    <row r="2084" spans="1:5" x14ac:dyDescent="0.25">
      <c r="A2084" t="s">
        <v>1340</v>
      </c>
      <c r="B2084" t="str">
        <f>VLOOKUP(Counties_by_State_Code[[#This Row],[State_Code]],Territory_by_Code[],2)</f>
        <v>Ohio</v>
      </c>
      <c r="C2084" t="s">
        <v>1351</v>
      </c>
      <c r="D2084">
        <v>38286</v>
      </c>
      <c r="E2084">
        <v>411.16</v>
      </c>
    </row>
    <row r="2085" spans="1:5" x14ac:dyDescent="0.25">
      <c r="A2085" t="s">
        <v>1340</v>
      </c>
      <c r="B2085" t="str">
        <f>VLOOKUP(Counties_by_State_Code[[#This Row],[State_Code]],Territory_by_Code[],2)</f>
        <v>Ohio</v>
      </c>
      <c r="C2085" t="s">
        <v>578</v>
      </c>
      <c r="D2085">
        <v>214124</v>
      </c>
      <c r="E2085">
        <v>442.41</v>
      </c>
    </row>
    <row r="2086" spans="1:5" x14ac:dyDescent="0.25">
      <c r="A2086" t="s">
        <v>1340</v>
      </c>
      <c r="B2086" t="str">
        <f>VLOOKUP(Counties_by_State_Code[[#This Row],[State_Code]],Territory_by_Code[],2)</f>
        <v>Ohio</v>
      </c>
      <c r="C2086" t="s">
        <v>1217</v>
      </c>
      <c r="D2086">
        <v>75622</v>
      </c>
      <c r="E2086">
        <v>254.88</v>
      </c>
    </row>
    <row r="2087" spans="1:5" x14ac:dyDescent="0.25">
      <c r="A2087" t="s">
        <v>1340</v>
      </c>
      <c r="B2087" t="str">
        <f>VLOOKUP(Counties_by_State_Code[[#This Row],[State_Code]],Territory_by_Code[],2)</f>
        <v>Ohio</v>
      </c>
      <c r="C2087" t="s">
        <v>294</v>
      </c>
      <c r="D2087">
        <v>158921</v>
      </c>
      <c r="E2087">
        <v>505.11</v>
      </c>
    </row>
    <row r="2088" spans="1:5" x14ac:dyDescent="0.25">
      <c r="A2088" t="s">
        <v>1340</v>
      </c>
      <c r="B2088" t="str">
        <f>VLOOKUP(Counties_by_State_Code[[#This Row],[State_Code]],Territory_by_Code[],2)</f>
        <v>Ohio</v>
      </c>
      <c r="C2088" t="s">
        <v>29</v>
      </c>
      <c r="D2088">
        <v>28951</v>
      </c>
      <c r="E2088">
        <v>406.58</v>
      </c>
    </row>
    <row r="2089" spans="1:5" x14ac:dyDescent="0.25">
      <c r="A2089" t="s">
        <v>1340</v>
      </c>
      <c r="B2089" t="str">
        <f>VLOOKUP(Counties_by_State_Code[[#This Row],[State_Code]],Territory_by_Code[],2)</f>
        <v>Ohio</v>
      </c>
      <c r="C2089" t="s">
        <v>30</v>
      </c>
      <c r="D2089">
        <v>1323807</v>
      </c>
      <c r="E2089">
        <v>539.87</v>
      </c>
    </row>
    <row r="2090" spans="1:5" x14ac:dyDescent="0.25">
      <c r="A2090" t="s">
        <v>1340</v>
      </c>
      <c r="B2090" t="str">
        <f>VLOOKUP(Counties_by_State_Code[[#This Row],[State_Code]],Territory_by_Code[],2)</f>
        <v>Ohio</v>
      </c>
      <c r="C2090" t="s">
        <v>141</v>
      </c>
      <c r="D2090">
        <v>42713</v>
      </c>
      <c r="E2090">
        <v>406.78</v>
      </c>
    </row>
    <row r="2091" spans="1:5" x14ac:dyDescent="0.25">
      <c r="A2091" t="s">
        <v>1340</v>
      </c>
      <c r="B2091" t="str">
        <f>VLOOKUP(Counties_by_State_Code[[#This Row],[State_Code]],Territory_by_Code[],2)</f>
        <v>Ohio</v>
      </c>
      <c r="C2091" t="s">
        <v>1352</v>
      </c>
      <c r="D2091">
        <v>29220</v>
      </c>
      <c r="E2091">
        <v>468.78</v>
      </c>
    </row>
    <row r="2092" spans="1:5" x14ac:dyDescent="0.25">
      <c r="A2092" t="s">
        <v>1340</v>
      </c>
      <c r="B2092" t="str">
        <f>VLOOKUP(Counties_by_State_Code[[#This Row],[State_Code]],Territory_by_Code[],2)</f>
        <v>Ohio</v>
      </c>
      <c r="C2092" t="s">
        <v>1353</v>
      </c>
      <c r="D2092">
        <v>95397</v>
      </c>
      <c r="E2092">
        <v>403.66</v>
      </c>
    </row>
    <row r="2093" spans="1:5" x14ac:dyDescent="0.25">
      <c r="A2093" t="s">
        <v>1340</v>
      </c>
      <c r="B2093" t="str">
        <f>VLOOKUP(Counties_by_State_Code[[#This Row],[State_Code]],Territory_by_Code[],2)</f>
        <v>Ohio</v>
      </c>
      <c r="C2093" t="s">
        <v>32</v>
      </c>
      <c r="D2093">
        <v>167966</v>
      </c>
      <c r="E2093">
        <v>414.88</v>
      </c>
    </row>
    <row r="2094" spans="1:5" x14ac:dyDescent="0.25">
      <c r="A2094" t="s">
        <v>1340</v>
      </c>
      <c r="B2094" t="str">
        <f>VLOOKUP(Counties_by_State_Code[[#This Row],[State_Code]],Territory_by_Code[],2)</f>
        <v>Ohio</v>
      </c>
      <c r="C2094" t="s">
        <v>1354</v>
      </c>
      <c r="D2094">
        <v>38438</v>
      </c>
      <c r="E2094">
        <v>521.9</v>
      </c>
    </row>
    <row r="2095" spans="1:5" x14ac:dyDescent="0.25">
      <c r="A2095" t="s">
        <v>1340</v>
      </c>
      <c r="B2095" t="str">
        <f>VLOOKUP(Counties_by_State_Code[[#This Row],[State_Code]],Territory_by_Code[],2)</f>
        <v>Ohio</v>
      </c>
      <c r="C2095" t="s">
        <v>334</v>
      </c>
      <c r="D2095">
        <v>830639</v>
      </c>
      <c r="E2095">
        <v>407.36</v>
      </c>
    </row>
    <row r="2096" spans="1:5" x14ac:dyDescent="0.25">
      <c r="A2096" t="s">
        <v>1340</v>
      </c>
      <c r="B2096" t="str">
        <f>VLOOKUP(Counties_by_State_Code[[#This Row],[State_Code]],Territory_by_Code[],2)</f>
        <v>Ohio</v>
      </c>
      <c r="C2096" t="s">
        <v>418</v>
      </c>
      <c r="D2096">
        <v>74920</v>
      </c>
      <c r="E2096">
        <v>531.35</v>
      </c>
    </row>
    <row r="2097" spans="1:5" x14ac:dyDescent="0.25">
      <c r="A2097" t="s">
        <v>1340</v>
      </c>
      <c r="B2097" t="str">
        <f>VLOOKUP(Counties_by_State_Code[[#This Row],[State_Code]],Territory_by_Code[],2)</f>
        <v>Ohio</v>
      </c>
      <c r="C2097" t="s">
        <v>535</v>
      </c>
      <c r="D2097">
        <v>30696</v>
      </c>
      <c r="E2097">
        <v>470.29</v>
      </c>
    </row>
    <row r="2098" spans="1:5" x14ac:dyDescent="0.25">
      <c r="A2098" t="s">
        <v>1340</v>
      </c>
      <c r="B2098" t="str">
        <f>VLOOKUP(Counties_by_State_Code[[#This Row],[State_Code]],Territory_by_Code[],2)</f>
        <v>Ohio</v>
      </c>
      <c r="C2098" t="s">
        <v>583</v>
      </c>
      <c r="D2098">
        <v>14483</v>
      </c>
      <c r="E2098">
        <v>403.53</v>
      </c>
    </row>
    <row r="2099" spans="1:5" x14ac:dyDescent="0.25">
      <c r="A2099" t="s">
        <v>1340</v>
      </c>
      <c r="B2099" t="str">
        <f>VLOOKUP(Counties_by_State_Code[[#This Row],[State_Code]],Territory_by_Code[],2)</f>
        <v>Ohio</v>
      </c>
      <c r="C2099" t="s">
        <v>34</v>
      </c>
      <c r="D2099">
        <v>27662</v>
      </c>
      <c r="E2099">
        <v>416.5</v>
      </c>
    </row>
    <row r="2100" spans="1:5" x14ac:dyDescent="0.25">
      <c r="A2100" t="s">
        <v>1340</v>
      </c>
      <c r="B2100" t="str">
        <f>VLOOKUP(Counties_by_State_Code[[#This Row],[State_Code]],Territory_by_Code[],2)</f>
        <v>Ohio</v>
      </c>
      <c r="C2100" t="s">
        <v>1355</v>
      </c>
      <c r="D2100">
        <v>43317</v>
      </c>
      <c r="E2100">
        <v>553.28</v>
      </c>
    </row>
    <row r="2101" spans="1:5" x14ac:dyDescent="0.25">
      <c r="A2101" t="s">
        <v>1340</v>
      </c>
      <c r="B2101" t="str">
        <f>VLOOKUP(Counties_by_State_Code[[#This Row],[State_Code]],Territory_by_Code[],2)</f>
        <v>Ohio</v>
      </c>
      <c r="C2101" t="s">
        <v>1356</v>
      </c>
      <c r="D2101">
        <v>28050</v>
      </c>
      <c r="E2101">
        <v>422.75</v>
      </c>
    </row>
    <row r="2102" spans="1:5" x14ac:dyDescent="0.25">
      <c r="A2102" t="s">
        <v>1340</v>
      </c>
      <c r="B2102" t="str">
        <f>VLOOKUP(Counties_by_State_Code[[#This Row],[State_Code]],Territory_by_Code[],2)</f>
        <v>Ohio</v>
      </c>
      <c r="C2102" t="s">
        <v>340</v>
      </c>
      <c r="D2102">
        <v>44223</v>
      </c>
      <c r="E2102">
        <v>422.99</v>
      </c>
    </row>
    <row r="2103" spans="1:5" x14ac:dyDescent="0.25">
      <c r="A2103" t="s">
        <v>1340</v>
      </c>
      <c r="B2103" t="str">
        <f>VLOOKUP(Counties_by_State_Code[[#This Row],[State_Code]],Territory_by_Code[],2)</f>
        <v>Ohio</v>
      </c>
      <c r="C2103" t="s">
        <v>895</v>
      </c>
      <c r="D2103">
        <v>58565</v>
      </c>
      <c r="E2103">
        <v>429.69</v>
      </c>
    </row>
    <row r="2104" spans="1:5" x14ac:dyDescent="0.25">
      <c r="A2104" t="s">
        <v>1340</v>
      </c>
      <c r="B2104" t="str">
        <f>VLOOKUP(Counties_by_State_Code[[#This Row],[State_Code]],Territory_by_Code[],2)</f>
        <v>Ohio</v>
      </c>
      <c r="C2104" t="s">
        <v>36</v>
      </c>
      <c r="D2104">
        <v>32653</v>
      </c>
      <c r="E2104">
        <v>420.28</v>
      </c>
    </row>
    <row r="2105" spans="1:5" x14ac:dyDescent="0.25">
      <c r="A2105" t="s">
        <v>1340</v>
      </c>
      <c r="B2105" t="str">
        <f>VLOOKUP(Counties_by_State_Code[[#This Row],[State_Code]],Territory_by_Code[],2)</f>
        <v>Ohio</v>
      </c>
      <c r="C2105" t="s">
        <v>37</v>
      </c>
      <c r="D2105">
        <v>65249</v>
      </c>
      <c r="E2105">
        <v>409.61</v>
      </c>
    </row>
    <row r="2106" spans="1:5" x14ac:dyDescent="0.25">
      <c r="A2106" t="s">
        <v>1340</v>
      </c>
      <c r="B2106" t="str">
        <f>VLOOKUP(Counties_by_State_Code[[#This Row],[State_Code]],Territory_by_Code[],2)</f>
        <v>Ohio</v>
      </c>
      <c r="C2106" t="s">
        <v>543</v>
      </c>
      <c r="D2106">
        <v>62721</v>
      </c>
      <c r="E2106">
        <v>527.12</v>
      </c>
    </row>
    <row r="2107" spans="1:5" x14ac:dyDescent="0.25">
      <c r="A2107" t="s">
        <v>1340</v>
      </c>
      <c r="B2107" t="str">
        <f>VLOOKUP(Counties_by_State_Code[[#This Row],[State_Code]],Territory_by_Code[],2)</f>
        <v>Ohio</v>
      </c>
      <c r="C2107" t="s">
        <v>196</v>
      </c>
      <c r="D2107">
        <v>232603</v>
      </c>
      <c r="E2107">
        <v>228.21</v>
      </c>
    </row>
    <row r="2108" spans="1:5" x14ac:dyDescent="0.25">
      <c r="A2108" t="s">
        <v>1340</v>
      </c>
      <c r="B2108" t="str">
        <f>VLOOKUP(Counties_by_State_Code[[#This Row],[State_Code]],Territory_by_Code[],2)</f>
        <v>Ohio</v>
      </c>
      <c r="C2108" t="s">
        <v>40</v>
      </c>
      <c r="D2108">
        <v>58240</v>
      </c>
      <c r="E2108">
        <v>454.96</v>
      </c>
    </row>
    <row r="2109" spans="1:5" x14ac:dyDescent="0.25">
      <c r="A2109" t="s">
        <v>1340</v>
      </c>
      <c r="B2109" t="str">
        <f>VLOOKUP(Counties_by_State_Code[[#This Row],[State_Code]],Territory_by_Code[],2)</f>
        <v>Ohio</v>
      </c>
      <c r="C2109" t="s">
        <v>1357</v>
      </c>
      <c r="D2109">
        <v>178519</v>
      </c>
      <c r="E2109">
        <v>686.5</v>
      </c>
    </row>
    <row r="2110" spans="1:5" x14ac:dyDescent="0.25">
      <c r="A2110" t="s">
        <v>1340</v>
      </c>
      <c r="B2110" t="str">
        <f>VLOOKUP(Counties_by_State_Code[[#This Row],[State_Code]],Territory_by_Code[],2)</f>
        <v>Ohio</v>
      </c>
      <c r="C2110" t="s">
        <v>153</v>
      </c>
      <c r="D2110">
        <v>46150</v>
      </c>
      <c r="E2110">
        <v>458.44</v>
      </c>
    </row>
    <row r="2111" spans="1:5" x14ac:dyDescent="0.25">
      <c r="A2111" t="s">
        <v>1340</v>
      </c>
      <c r="B2111" t="str">
        <f>VLOOKUP(Counties_by_State_Code[[#This Row],[State_Code]],Territory_by_Code[],2)</f>
        <v>Ohio</v>
      </c>
      <c r="C2111" t="s">
        <v>1358</v>
      </c>
      <c r="D2111">
        <v>312964</v>
      </c>
      <c r="E2111">
        <v>492.5</v>
      </c>
    </row>
    <row r="2112" spans="1:5" x14ac:dyDescent="0.25">
      <c r="A2112" t="s">
        <v>1340</v>
      </c>
      <c r="B2112" t="str">
        <f>VLOOKUP(Counties_by_State_Code[[#This Row],[State_Code]],Territory_by_Code[],2)</f>
        <v>Ohio</v>
      </c>
      <c r="C2112" t="s">
        <v>638</v>
      </c>
      <c r="D2112">
        <v>431279</v>
      </c>
      <c r="E2112">
        <v>340.46</v>
      </c>
    </row>
    <row r="2113" spans="1:5" x14ac:dyDescent="0.25">
      <c r="A2113" t="s">
        <v>1340</v>
      </c>
      <c r="B2113" t="str">
        <f>VLOOKUP(Counties_by_State_Code[[#This Row],[State_Code]],Territory_by_Code[],2)</f>
        <v>Ohio</v>
      </c>
      <c r="C2113" t="s">
        <v>45</v>
      </c>
      <c r="D2113">
        <v>43824</v>
      </c>
      <c r="E2113">
        <v>465.44</v>
      </c>
    </row>
    <row r="2114" spans="1:5" x14ac:dyDescent="0.25">
      <c r="A2114" t="s">
        <v>1340</v>
      </c>
      <c r="B2114" t="str">
        <f>VLOOKUP(Counties_by_State_Code[[#This Row],[State_Code]],Territory_by_Code[],2)</f>
        <v>Ohio</v>
      </c>
      <c r="C2114" t="s">
        <v>1359</v>
      </c>
      <c r="D2114">
        <v>228614</v>
      </c>
      <c r="E2114">
        <v>415.25</v>
      </c>
    </row>
    <row r="2115" spans="1:5" x14ac:dyDescent="0.25">
      <c r="A2115" t="s">
        <v>1340</v>
      </c>
      <c r="B2115" t="str">
        <f>VLOOKUP(Counties_by_State_Code[[#This Row],[State_Code]],Territory_by_Code[],2)</f>
        <v>Ohio</v>
      </c>
      <c r="C2115" t="s">
        <v>47</v>
      </c>
      <c r="D2115">
        <v>65359</v>
      </c>
      <c r="E2115">
        <v>403.84</v>
      </c>
    </row>
    <row r="2116" spans="1:5" x14ac:dyDescent="0.25">
      <c r="A2116" t="s">
        <v>1340</v>
      </c>
      <c r="B2116" t="str">
        <f>VLOOKUP(Counties_by_State_Code[[#This Row],[State_Code]],Territory_by_Code[],2)</f>
        <v>Ohio</v>
      </c>
      <c r="C2116" t="s">
        <v>1360</v>
      </c>
      <c r="D2116">
        <v>182470</v>
      </c>
      <c r="E2116">
        <v>423</v>
      </c>
    </row>
    <row r="2117" spans="1:5" x14ac:dyDescent="0.25">
      <c r="A2117" t="s">
        <v>1340</v>
      </c>
      <c r="B2117" t="str">
        <f>VLOOKUP(Counties_by_State_Code[[#This Row],[State_Code]],Territory_by_Code[],2)</f>
        <v>Ohio</v>
      </c>
      <c r="C2117" t="s">
        <v>1361</v>
      </c>
      <c r="D2117">
        <v>22210</v>
      </c>
      <c r="E2117">
        <v>429.42</v>
      </c>
    </row>
    <row r="2118" spans="1:5" x14ac:dyDescent="0.25">
      <c r="A2118" t="s">
        <v>1340</v>
      </c>
      <c r="B2118" t="str">
        <f>VLOOKUP(Counties_by_State_Code[[#This Row],[State_Code]],Territory_by_Code[],2)</f>
        <v>Ohio</v>
      </c>
      <c r="C2118" t="s">
        <v>553</v>
      </c>
      <c r="D2118">
        <v>42528</v>
      </c>
      <c r="E2118">
        <v>463.27</v>
      </c>
    </row>
    <row r="2119" spans="1:5" x14ac:dyDescent="0.25">
      <c r="A2119" t="s">
        <v>1340</v>
      </c>
      <c r="B2119" t="str">
        <f>VLOOKUP(Counties_by_State_Code[[#This Row],[State_Code]],Territory_by_Code[],2)</f>
        <v>Ohio</v>
      </c>
      <c r="C2119" t="s">
        <v>591</v>
      </c>
      <c r="D2119">
        <v>108774</v>
      </c>
      <c r="E2119">
        <v>407.04</v>
      </c>
    </row>
    <row r="2120" spans="1:5" x14ac:dyDescent="0.25">
      <c r="A2120" t="s">
        <v>1340</v>
      </c>
      <c r="B2120" t="str">
        <f>VLOOKUP(Counties_by_State_Code[[#This Row],[State_Code]],Territory_by_Code[],2)</f>
        <v>Ohio</v>
      </c>
      <c r="C2120" t="s">
        <v>50</v>
      </c>
      <c r="D2120">
        <v>13385</v>
      </c>
      <c r="E2120">
        <v>455.54</v>
      </c>
    </row>
    <row r="2121" spans="1:5" x14ac:dyDescent="0.25">
      <c r="A2121" t="s">
        <v>1340</v>
      </c>
      <c r="B2121" t="str">
        <f>VLOOKUP(Counties_by_State_Code[[#This Row],[State_Code]],Territory_by_Code[],2)</f>
        <v>Ohio</v>
      </c>
      <c r="C2121" t="s">
        <v>51</v>
      </c>
      <c r="D2121">
        <v>537309</v>
      </c>
      <c r="E2121">
        <v>461.68</v>
      </c>
    </row>
    <row r="2122" spans="1:5" x14ac:dyDescent="0.25">
      <c r="A2122" t="s">
        <v>1340</v>
      </c>
      <c r="B2122" t="str">
        <f>VLOOKUP(Counties_by_State_Code[[#This Row],[State_Code]],Territory_by_Code[],2)</f>
        <v>Ohio</v>
      </c>
      <c r="C2122" t="s">
        <v>52</v>
      </c>
      <c r="D2122">
        <v>13802</v>
      </c>
      <c r="E2122">
        <v>417.66</v>
      </c>
    </row>
    <row r="2123" spans="1:5" x14ac:dyDescent="0.25">
      <c r="A2123" t="s">
        <v>1340</v>
      </c>
      <c r="B2123" t="str">
        <f>VLOOKUP(Counties_by_State_Code[[#This Row],[State_Code]],Territory_by_Code[],2)</f>
        <v>Ohio</v>
      </c>
      <c r="C2123" t="s">
        <v>1362</v>
      </c>
      <c r="D2123">
        <v>34950</v>
      </c>
      <c r="E2123">
        <v>406.22</v>
      </c>
    </row>
    <row r="2124" spans="1:5" x14ac:dyDescent="0.25">
      <c r="A2124" t="s">
        <v>1340</v>
      </c>
      <c r="B2124" t="str">
        <f>VLOOKUP(Counties_by_State_Code[[#This Row],[State_Code]],Territory_by_Code[],2)</f>
        <v>Ohio</v>
      </c>
      <c r="C2124" t="s">
        <v>1363</v>
      </c>
      <c r="D2124">
        <v>86410</v>
      </c>
      <c r="E2124">
        <v>664.63</v>
      </c>
    </row>
    <row r="2125" spans="1:5" x14ac:dyDescent="0.25">
      <c r="A2125" t="s">
        <v>1340</v>
      </c>
      <c r="B2125" t="str">
        <f>VLOOKUP(Counties_by_State_Code[[#This Row],[State_Code]],Territory_by_Code[],2)</f>
        <v>Ohio</v>
      </c>
      <c r="C2125" t="s">
        <v>592</v>
      </c>
      <c r="D2125">
        <v>14115</v>
      </c>
      <c r="E2125">
        <v>399</v>
      </c>
    </row>
    <row r="2126" spans="1:5" x14ac:dyDescent="0.25">
      <c r="A2126" t="s">
        <v>1340</v>
      </c>
      <c r="B2126" t="str">
        <f>VLOOKUP(Counties_by_State_Code[[#This Row],[State_Code]],Territory_by_Code[],2)</f>
        <v>Ohio</v>
      </c>
      <c r="C2126" t="s">
        <v>702</v>
      </c>
      <c r="D2126">
        <v>40364</v>
      </c>
      <c r="E2126">
        <v>254.95</v>
      </c>
    </row>
    <row r="2127" spans="1:5" x14ac:dyDescent="0.25">
      <c r="A2127" t="s">
        <v>1340</v>
      </c>
      <c r="B2127" t="str">
        <f>VLOOKUP(Counties_by_State_Code[[#This Row],[State_Code]],Territory_by_Code[],2)</f>
        <v>Ohio</v>
      </c>
      <c r="C2127" t="s">
        <v>440</v>
      </c>
      <c r="D2127">
        <v>18806</v>
      </c>
      <c r="E2127">
        <v>416.26</v>
      </c>
    </row>
    <row r="2128" spans="1:5" x14ac:dyDescent="0.25">
      <c r="A2128" t="s">
        <v>1340</v>
      </c>
      <c r="B2128" t="str">
        <f>VLOOKUP(Counties_by_State_Code[[#This Row],[State_Code]],Territory_by_Code[],2)</f>
        <v>Ohio</v>
      </c>
      <c r="C2128" t="s">
        <v>53</v>
      </c>
      <c r="D2128">
        <v>35408</v>
      </c>
      <c r="E2128">
        <v>409.78</v>
      </c>
    </row>
    <row r="2129" spans="1:5" x14ac:dyDescent="0.25">
      <c r="A2129" t="s">
        <v>1340</v>
      </c>
      <c r="B2129" t="str">
        <f>VLOOKUP(Counties_by_State_Code[[#This Row],[State_Code]],Territory_by_Code[],2)</f>
        <v>Ohio</v>
      </c>
      <c r="C2129" t="s">
        <v>1364</v>
      </c>
      <c r="D2129">
        <v>58539</v>
      </c>
      <c r="E2129">
        <v>501.91</v>
      </c>
    </row>
    <row r="2130" spans="1:5" x14ac:dyDescent="0.25">
      <c r="A2130" t="s">
        <v>1340</v>
      </c>
      <c r="B2130" t="str">
        <f>VLOOKUP(Counties_by_State_Code[[#This Row],[State_Code]],Territory_by_Code[],2)</f>
        <v>Ohio</v>
      </c>
      <c r="C2130" t="s">
        <v>55</v>
      </c>
      <c r="D2130">
        <v>27088</v>
      </c>
      <c r="E2130">
        <v>441.49</v>
      </c>
    </row>
    <row r="2131" spans="1:5" x14ac:dyDescent="0.25">
      <c r="A2131" t="s">
        <v>1340</v>
      </c>
      <c r="B2131" t="str">
        <f>VLOOKUP(Counties_by_State_Code[[#This Row],[State_Code]],Territory_by_Code[],2)</f>
        <v>Ohio</v>
      </c>
      <c r="C2131" t="s">
        <v>1365</v>
      </c>
      <c r="D2131">
        <v>161791</v>
      </c>
      <c r="E2131">
        <v>492.39</v>
      </c>
    </row>
    <row r="2132" spans="1:5" x14ac:dyDescent="0.25">
      <c r="A2132" t="s">
        <v>1340</v>
      </c>
      <c r="B2132" t="str">
        <f>VLOOKUP(Counties_by_State_Code[[#This Row],[State_Code]],Territory_by_Code[],2)</f>
        <v>Ohio</v>
      </c>
      <c r="C2132" t="s">
        <v>1366</v>
      </c>
      <c r="D2132">
        <v>40999</v>
      </c>
      <c r="E2132">
        <v>424.8</v>
      </c>
    </row>
    <row r="2133" spans="1:5" x14ac:dyDescent="0.25">
      <c r="A2133" t="s">
        <v>1340</v>
      </c>
      <c r="B2133" t="str">
        <f>VLOOKUP(Counties_by_State_Code[[#This Row],[State_Code]],Territory_by_Code[],2)</f>
        <v>Ohio</v>
      </c>
      <c r="C2133" t="s">
        <v>355</v>
      </c>
      <c r="D2133">
        <v>34451</v>
      </c>
      <c r="E2133">
        <v>483.87</v>
      </c>
    </row>
    <row r="2134" spans="1:5" x14ac:dyDescent="0.25">
      <c r="A2134" t="s">
        <v>1340</v>
      </c>
      <c r="B2134" t="str">
        <f>VLOOKUP(Counties_by_State_Code[[#This Row],[State_Code]],Territory_by_Code[],2)</f>
        <v>Ohio</v>
      </c>
      <c r="C2134" t="s">
        <v>558</v>
      </c>
      <c r="D2134">
        <v>124936</v>
      </c>
      <c r="E2134">
        <v>496.88</v>
      </c>
    </row>
    <row r="2135" spans="1:5" x14ac:dyDescent="0.25">
      <c r="A2135" t="s">
        <v>1340</v>
      </c>
      <c r="B2135" t="str">
        <f>VLOOKUP(Counties_by_State_Code[[#This Row],[State_Code]],Territory_by_Code[],2)</f>
        <v>Ohio</v>
      </c>
      <c r="C2135" t="s">
        <v>1367</v>
      </c>
      <c r="D2135">
        <v>77093</v>
      </c>
      <c r="E2135">
        <v>688.41</v>
      </c>
    </row>
    <row r="2136" spans="1:5" x14ac:dyDescent="0.25">
      <c r="A2136" t="s">
        <v>1340</v>
      </c>
      <c r="B2136" t="str">
        <f>VLOOKUP(Counties_by_State_Code[[#This Row],[State_Code]],Territory_by_Code[],2)</f>
        <v>Ohio</v>
      </c>
      <c r="C2136" t="s">
        <v>1368</v>
      </c>
      <c r="D2136">
        <v>58896</v>
      </c>
      <c r="E2136">
        <v>409.18</v>
      </c>
    </row>
    <row r="2137" spans="1:5" x14ac:dyDescent="0.25">
      <c r="A2137" t="s">
        <v>1340</v>
      </c>
      <c r="B2137" t="str">
        <f>VLOOKUP(Counties_by_State_Code[[#This Row],[State_Code]],Territory_by_Code[],2)</f>
        <v>Ohio</v>
      </c>
      <c r="C2137" t="s">
        <v>1369</v>
      </c>
      <c r="D2137">
        <v>74008</v>
      </c>
      <c r="E2137">
        <v>612.27</v>
      </c>
    </row>
    <row r="2138" spans="1:5" x14ac:dyDescent="0.25">
      <c r="A2138" t="s">
        <v>1340</v>
      </c>
      <c r="B2138" t="str">
        <f>VLOOKUP(Counties_by_State_Code[[#This Row],[State_Code]],Territory_by_Code[],2)</f>
        <v>Ohio</v>
      </c>
      <c r="C2138" t="s">
        <v>1231</v>
      </c>
      <c r="D2138">
        <v>55069</v>
      </c>
      <c r="E2138">
        <v>550.59</v>
      </c>
    </row>
    <row r="2139" spans="1:5" x14ac:dyDescent="0.25">
      <c r="A2139" t="s">
        <v>1340</v>
      </c>
      <c r="B2139" t="str">
        <f>VLOOKUP(Counties_by_State_Code[[#This Row],[State_Code]],Territory_by_Code[],2)</f>
        <v>Ohio</v>
      </c>
      <c r="C2139" t="s">
        <v>58</v>
      </c>
      <c r="D2139">
        <v>48230</v>
      </c>
      <c r="E2139">
        <v>409.27</v>
      </c>
    </row>
    <row r="2140" spans="1:5" x14ac:dyDescent="0.25">
      <c r="A2140" t="s">
        <v>1340</v>
      </c>
      <c r="B2140" t="str">
        <f>VLOOKUP(Counties_by_State_Code[[#This Row],[State_Code]],Territory_by_Code[],2)</f>
        <v>Ohio</v>
      </c>
      <c r="C2140" t="s">
        <v>562</v>
      </c>
      <c r="D2140">
        <v>374853</v>
      </c>
      <c r="E2140">
        <v>576.14</v>
      </c>
    </row>
    <row r="2141" spans="1:5" x14ac:dyDescent="0.25">
      <c r="A2141" t="s">
        <v>1340</v>
      </c>
      <c r="B2141" t="str">
        <f>VLOOKUP(Counties_by_State_Code[[#This Row],[State_Code]],Territory_by_Code[],2)</f>
        <v>Ohio</v>
      </c>
      <c r="C2141" t="s">
        <v>289</v>
      </c>
      <c r="D2141">
        <v>540428</v>
      </c>
      <c r="E2141">
        <v>419.38</v>
      </c>
    </row>
    <row r="2142" spans="1:5" x14ac:dyDescent="0.25">
      <c r="A2142" t="s">
        <v>1340</v>
      </c>
      <c r="B2142" t="str">
        <f>VLOOKUP(Counties_by_State_Code[[#This Row],[State_Code]],Territory_by_Code[],2)</f>
        <v>Ohio</v>
      </c>
      <c r="C2142" t="s">
        <v>1370</v>
      </c>
      <c r="D2142">
        <v>201977</v>
      </c>
      <c r="E2142">
        <v>616.48</v>
      </c>
    </row>
    <row r="2143" spans="1:5" x14ac:dyDescent="0.25">
      <c r="A2143" t="s">
        <v>1340</v>
      </c>
      <c r="B2143" t="str">
        <f>VLOOKUP(Counties_by_State_Code[[#This Row],[State_Code]],Territory_by_Code[],2)</f>
        <v>Ohio</v>
      </c>
      <c r="C2143" t="s">
        <v>1371</v>
      </c>
      <c r="D2143">
        <v>93263</v>
      </c>
      <c r="E2143">
        <v>567.58000000000004</v>
      </c>
    </row>
    <row r="2144" spans="1:5" x14ac:dyDescent="0.25">
      <c r="A2144" t="s">
        <v>1340</v>
      </c>
      <c r="B2144" t="str">
        <f>VLOOKUP(Counties_by_State_Code[[#This Row],[State_Code]],Territory_by_Code[],2)</f>
        <v>Ohio</v>
      </c>
      <c r="C2144" t="s">
        <v>174</v>
      </c>
      <c r="D2144">
        <v>62784</v>
      </c>
      <c r="E2144">
        <v>436.65</v>
      </c>
    </row>
    <row r="2145" spans="1:5" x14ac:dyDescent="0.25">
      <c r="A2145" t="s">
        <v>1340</v>
      </c>
      <c r="B2145" t="str">
        <f>VLOOKUP(Counties_by_State_Code[[#This Row],[State_Code]],Territory_by_Code[],2)</f>
        <v>Ohio</v>
      </c>
      <c r="C2145" t="s">
        <v>1372</v>
      </c>
      <c r="D2145">
        <v>28931</v>
      </c>
      <c r="E2145">
        <v>410.09</v>
      </c>
    </row>
    <row r="2146" spans="1:5" x14ac:dyDescent="0.25">
      <c r="A2146" t="s">
        <v>1340</v>
      </c>
      <c r="B2146" t="str">
        <f>VLOOKUP(Counties_by_State_Code[[#This Row],[State_Code]],Territory_by_Code[],2)</f>
        <v>Ohio</v>
      </c>
      <c r="C2146" t="s">
        <v>1373</v>
      </c>
      <c r="D2146">
        <v>12800</v>
      </c>
      <c r="E2146">
        <v>414.08</v>
      </c>
    </row>
    <row r="2147" spans="1:5" x14ac:dyDescent="0.25">
      <c r="A2147" t="s">
        <v>1340</v>
      </c>
      <c r="B2147" t="str">
        <f>VLOOKUP(Counties_by_State_Code[[#This Row],[State_Code]],Territory_by_Code[],2)</f>
        <v>Ohio</v>
      </c>
      <c r="C2147" t="s">
        <v>467</v>
      </c>
      <c r="D2147">
        <v>242337</v>
      </c>
      <c r="E2147">
        <v>399.63</v>
      </c>
    </row>
    <row r="2148" spans="1:5" x14ac:dyDescent="0.25">
      <c r="A2148" t="s">
        <v>1340</v>
      </c>
      <c r="B2148" t="str">
        <f>VLOOKUP(Counties_by_State_Code[[#This Row],[State_Code]],Territory_by_Code[],2)</f>
        <v>Ohio</v>
      </c>
      <c r="C2148" t="s">
        <v>65</v>
      </c>
      <c r="D2148">
        <v>59771</v>
      </c>
      <c r="E2148">
        <v>635.15</v>
      </c>
    </row>
    <row r="2149" spans="1:5" x14ac:dyDescent="0.25">
      <c r="A2149" t="s">
        <v>1340</v>
      </c>
      <c r="B2149" t="str">
        <f>VLOOKUP(Counties_by_State_Code[[#This Row],[State_Code]],Territory_by_Code[],2)</f>
        <v>Ohio</v>
      </c>
      <c r="C2149" t="s">
        <v>468</v>
      </c>
      <c r="D2149">
        <v>116894</v>
      </c>
      <c r="E2149">
        <v>555.36</v>
      </c>
    </row>
    <row r="2150" spans="1:5" x14ac:dyDescent="0.25">
      <c r="A2150" t="s">
        <v>1340</v>
      </c>
      <c r="B2150" t="str">
        <f>VLOOKUP(Counties_by_State_Code[[#This Row],[State_Code]],Territory_by_Code[],2)</f>
        <v>Ohio</v>
      </c>
      <c r="C2150" t="s">
        <v>1334</v>
      </c>
      <c r="D2150">
        <v>37102</v>
      </c>
      <c r="E2150">
        <v>421.74</v>
      </c>
    </row>
    <row r="2151" spans="1:5" x14ac:dyDescent="0.25">
      <c r="A2151" t="s">
        <v>1340</v>
      </c>
      <c r="B2151" t="str">
        <f>VLOOKUP(Counties_by_State_Code[[#This Row],[State_Code]],Territory_by_Code[],2)</f>
        <v>Ohio</v>
      </c>
      <c r="C2151" t="s">
        <v>1374</v>
      </c>
      <c r="D2151">
        <v>132248</v>
      </c>
      <c r="E2151">
        <v>617.32000000000005</v>
      </c>
    </row>
    <row r="2152" spans="1:5" x14ac:dyDescent="0.25">
      <c r="A2152" t="s">
        <v>1340</v>
      </c>
      <c r="B2152" t="str">
        <f>VLOOKUP(Counties_by_State_Code[[#This Row],[State_Code]],Territory_by_Code[],2)</f>
        <v>Ohio</v>
      </c>
      <c r="C2152" t="s">
        <v>1375</v>
      </c>
      <c r="D2152">
        <v>21900</v>
      </c>
      <c r="E2152">
        <v>405.61</v>
      </c>
    </row>
    <row r="2153" spans="1:5" x14ac:dyDescent="0.25">
      <c r="A2153" t="s">
        <v>1376</v>
      </c>
      <c r="B2153" t="str">
        <f>VLOOKUP(Counties_by_State_Code[[#This Row],[State_Code]],Territory_by_Code[],2)</f>
        <v>Oklahoma</v>
      </c>
      <c r="C2153" t="s">
        <v>614</v>
      </c>
      <c r="D2153">
        <v>19495</v>
      </c>
      <c r="E2153">
        <v>576</v>
      </c>
    </row>
    <row r="2154" spans="1:5" x14ac:dyDescent="0.25">
      <c r="A2154" t="s">
        <v>1376</v>
      </c>
      <c r="B2154" t="str">
        <f>VLOOKUP(Counties_by_State_Code[[#This Row],[State_Code]],Territory_by_Code[],2)</f>
        <v>Oklahoma</v>
      </c>
      <c r="C2154" t="s">
        <v>1377</v>
      </c>
      <c r="D2154">
        <v>5699</v>
      </c>
      <c r="E2154">
        <v>867</v>
      </c>
    </row>
    <row r="2155" spans="1:5" x14ac:dyDescent="0.25">
      <c r="A2155" t="s">
        <v>1376</v>
      </c>
      <c r="B2155" t="str">
        <f>VLOOKUP(Counties_by_State_Code[[#This Row],[State_Code]],Territory_by_Code[],2)</f>
        <v>Oklahoma</v>
      </c>
      <c r="C2155" t="s">
        <v>1378</v>
      </c>
      <c r="D2155">
        <v>14143</v>
      </c>
      <c r="E2155">
        <v>978</v>
      </c>
    </row>
    <row r="2156" spans="1:5" x14ac:dyDescent="0.25">
      <c r="A2156" t="s">
        <v>1376</v>
      </c>
      <c r="B2156" t="str">
        <f>VLOOKUP(Counties_by_State_Code[[#This Row],[State_Code]],Territory_by_Code[],2)</f>
        <v>Oklahoma</v>
      </c>
      <c r="C2156" t="s">
        <v>1379</v>
      </c>
      <c r="D2156">
        <v>5049</v>
      </c>
      <c r="E2156">
        <v>1814</v>
      </c>
    </row>
    <row r="2157" spans="1:5" x14ac:dyDescent="0.25">
      <c r="A2157" t="s">
        <v>1376</v>
      </c>
      <c r="B2157" t="str">
        <f>VLOOKUP(Counties_by_State_Code[[#This Row],[State_Code]],Territory_by_Code[],2)</f>
        <v>Oklahoma</v>
      </c>
      <c r="C2157" t="s">
        <v>1380</v>
      </c>
      <c r="D2157">
        <v>22410</v>
      </c>
      <c r="E2157">
        <v>902</v>
      </c>
    </row>
    <row r="2158" spans="1:5" x14ac:dyDescent="0.25">
      <c r="A2158" t="s">
        <v>1376</v>
      </c>
      <c r="B2158" t="str">
        <f>VLOOKUP(Counties_by_State_Code[[#This Row],[State_Code]],Territory_by_Code[],2)</f>
        <v>Oklahoma</v>
      </c>
      <c r="C2158" t="s">
        <v>489</v>
      </c>
      <c r="D2158">
        <v>8735</v>
      </c>
      <c r="E2158">
        <v>929</v>
      </c>
    </row>
    <row r="2159" spans="1:5" x14ac:dyDescent="0.25">
      <c r="A2159" t="s">
        <v>1376</v>
      </c>
      <c r="B2159" t="str">
        <f>VLOOKUP(Counties_by_State_Code[[#This Row],[State_Code]],Territory_by_Code[],2)</f>
        <v>Oklahoma</v>
      </c>
      <c r="C2159" t="s">
        <v>378</v>
      </c>
      <c r="D2159">
        <v>46067</v>
      </c>
      <c r="E2159">
        <v>909</v>
      </c>
    </row>
    <row r="2160" spans="1:5" x14ac:dyDescent="0.25">
      <c r="A2160" t="s">
        <v>1376</v>
      </c>
      <c r="B2160" t="str">
        <f>VLOOKUP(Counties_by_State_Code[[#This Row],[State_Code]],Territory_by_Code[],2)</f>
        <v>Oklahoma</v>
      </c>
      <c r="C2160" t="s">
        <v>792</v>
      </c>
      <c r="D2160">
        <v>26945</v>
      </c>
      <c r="E2160">
        <v>1278</v>
      </c>
    </row>
    <row r="2161" spans="1:5" x14ac:dyDescent="0.25">
      <c r="A2161" t="s">
        <v>1376</v>
      </c>
      <c r="B2161" t="str">
        <f>VLOOKUP(Counties_by_State_Code[[#This Row],[State_Code]],Territory_by_Code[],2)</f>
        <v>Oklahoma</v>
      </c>
      <c r="C2161" t="s">
        <v>1381</v>
      </c>
      <c r="D2161">
        <v>154405</v>
      </c>
      <c r="E2161">
        <v>900</v>
      </c>
    </row>
    <row r="2162" spans="1:5" x14ac:dyDescent="0.25">
      <c r="A2162" t="s">
        <v>1376</v>
      </c>
      <c r="B2162" t="str">
        <f>VLOOKUP(Counties_by_State_Code[[#This Row],[State_Code]],Territory_by_Code[],2)</f>
        <v>Oklahoma</v>
      </c>
      <c r="C2162" t="s">
        <v>743</v>
      </c>
      <c r="D2162">
        <v>48003</v>
      </c>
      <c r="E2162">
        <v>824</v>
      </c>
    </row>
    <row r="2163" spans="1:5" x14ac:dyDescent="0.25">
      <c r="A2163" t="s">
        <v>1376</v>
      </c>
      <c r="B2163" t="str">
        <f>VLOOKUP(Counties_by_State_Code[[#This Row],[State_Code]],Territory_by_Code[],2)</f>
        <v>Oklahoma</v>
      </c>
      <c r="C2163" t="s">
        <v>10</v>
      </c>
      <c r="D2163">
        <v>47078</v>
      </c>
      <c r="E2163">
        <v>751</v>
      </c>
    </row>
    <row r="2164" spans="1:5" x14ac:dyDescent="0.25">
      <c r="A2164" t="s">
        <v>1376</v>
      </c>
      <c r="B2164" t="str">
        <f>VLOOKUP(Counties_by_State_Code[[#This Row],[State_Code]],Territory_by_Code[],2)</f>
        <v>Oklahoma</v>
      </c>
      <c r="C2164" t="s">
        <v>12</v>
      </c>
      <c r="D2164">
        <v>14204</v>
      </c>
      <c r="E2164">
        <v>774</v>
      </c>
    </row>
    <row r="2165" spans="1:5" x14ac:dyDescent="0.25">
      <c r="A2165" t="s">
        <v>1376</v>
      </c>
      <c r="B2165" t="str">
        <f>VLOOKUP(Counties_by_State_Code[[#This Row],[State_Code]],Territory_by_Code[],2)</f>
        <v>Oklahoma</v>
      </c>
      <c r="C2165" t="s">
        <v>1382</v>
      </c>
      <c r="D2165">
        <v>2296</v>
      </c>
      <c r="E2165">
        <v>1835</v>
      </c>
    </row>
    <row r="2166" spans="1:5" x14ac:dyDescent="0.25">
      <c r="A2166" t="s">
        <v>1376</v>
      </c>
      <c r="B2166" t="str">
        <f>VLOOKUP(Counties_by_State_Code[[#This Row],[State_Code]],Territory_by_Code[],2)</f>
        <v>Oklahoma</v>
      </c>
      <c r="C2166" t="s">
        <v>131</v>
      </c>
      <c r="D2166">
        <v>295528</v>
      </c>
      <c r="E2166">
        <v>536</v>
      </c>
    </row>
    <row r="2167" spans="1:5" x14ac:dyDescent="0.25">
      <c r="A2167" t="s">
        <v>1376</v>
      </c>
      <c r="B2167" t="str">
        <f>VLOOKUP(Counties_by_State_Code[[#This Row],[State_Code]],Territory_by_Code[],2)</f>
        <v>Oklahoma</v>
      </c>
      <c r="C2167" t="s">
        <v>1383</v>
      </c>
      <c r="D2167">
        <v>5266</v>
      </c>
      <c r="E2167">
        <v>518</v>
      </c>
    </row>
    <row r="2168" spans="1:5" x14ac:dyDescent="0.25">
      <c r="A2168" t="s">
        <v>1376</v>
      </c>
      <c r="B2168" t="str">
        <f>VLOOKUP(Counties_by_State_Code[[#This Row],[State_Code]],Territory_by_Code[],2)</f>
        <v>Oklahoma</v>
      </c>
      <c r="C2168" t="s">
        <v>670</v>
      </c>
      <c r="D2168">
        <v>121125</v>
      </c>
      <c r="E2168">
        <v>1069</v>
      </c>
    </row>
    <row r="2169" spans="1:5" x14ac:dyDescent="0.25">
      <c r="A2169" t="s">
        <v>1376</v>
      </c>
      <c r="B2169" t="str">
        <f>VLOOKUP(Counties_by_State_Code[[#This Row],[State_Code]],Territory_by_Code[],2)</f>
        <v>Oklahoma</v>
      </c>
      <c r="C2169" t="s">
        <v>1384</v>
      </c>
      <c r="D2169">
        <v>5527</v>
      </c>
      <c r="E2169">
        <v>637</v>
      </c>
    </row>
    <row r="2170" spans="1:5" x14ac:dyDescent="0.25">
      <c r="A2170" t="s">
        <v>1376</v>
      </c>
      <c r="B2170" t="str">
        <f>VLOOKUP(Counties_by_State_Code[[#This Row],[State_Code]],Territory_by_Code[],2)</f>
        <v>Oklahoma</v>
      </c>
      <c r="C2170" t="s">
        <v>1385</v>
      </c>
      <c r="D2170">
        <v>14107</v>
      </c>
      <c r="E2170">
        <v>761</v>
      </c>
    </row>
    <row r="2171" spans="1:5" x14ac:dyDescent="0.25">
      <c r="A2171" t="s">
        <v>1376</v>
      </c>
      <c r="B2171" t="str">
        <f>VLOOKUP(Counties_by_State_Code[[#This Row],[State_Code]],Territory_by_Code[],2)</f>
        <v>Oklahoma</v>
      </c>
      <c r="C2171" t="s">
        <v>1386</v>
      </c>
      <c r="D2171">
        <v>71754</v>
      </c>
      <c r="E2171">
        <v>956</v>
      </c>
    </row>
    <row r="2172" spans="1:5" x14ac:dyDescent="0.25">
      <c r="A2172" t="s">
        <v>1376</v>
      </c>
      <c r="B2172" t="str">
        <f>VLOOKUP(Counties_by_State_Code[[#This Row],[State_Code]],Territory_by_Code[],2)</f>
        <v>Oklahoma</v>
      </c>
      <c r="C2172" t="s">
        <v>251</v>
      </c>
      <c r="D2172">
        <v>28513</v>
      </c>
      <c r="E2172">
        <v>987</v>
      </c>
    </row>
    <row r="2173" spans="1:5" x14ac:dyDescent="0.25">
      <c r="A2173" t="s">
        <v>1376</v>
      </c>
      <c r="B2173" t="str">
        <f>VLOOKUP(Counties_by_State_Code[[#This Row],[State_Code]],Territory_by_Code[],2)</f>
        <v>Oklahoma</v>
      </c>
      <c r="C2173" t="s">
        <v>578</v>
      </c>
      <c r="D2173">
        <v>40397</v>
      </c>
      <c r="E2173">
        <v>741</v>
      </c>
    </row>
    <row r="2174" spans="1:5" x14ac:dyDescent="0.25">
      <c r="A2174" t="s">
        <v>1376</v>
      </c>
      <c r="B2174" t="str">
        <f>VLOOKUP(Counties_by_State_Code[[#This Row],[State_Code]],Territory_by_Code[],2)</f>
        <v>Oklahoma</v>
      </c>
      <c r="C2174" t="s">
        <v>1387</v>
      </c>
      <c r="D2174">
        <v>4484</v>
      </c>
      <c r="E2174">
        <v>1000</v>
      </c>
    </row>
    <row r="2175" spans="1:5" x14ac:dyDescent="0.25">
      <c r="A2175" t="s">
        <v>1376</v>
      </c>
      <c r="B2175" t="str">
        <f>VLOOKUP(Counties_by_State_Code[[#This Row],[State_Code]],Territory_by_Code[],2)</f>
        <v>Oklahoma</v>
      </c>
      <c r="C2175" t="s">
        <v>674</v>
      </c>
      <c r="D2175">
        <v>3749</v>
      </c>
      <c r="E2175">
        <v>1229</v>
      </c>
    </row>
    <row r="2176" spans="1:5" x14ac:dyDescent="0.25">
      <c r="A2176" t="s">
        <v>1376</v>
      </c>
      <c r="B2176" t="str">
        <f>VLOOKUP(Counties_by_State_Code[[#This Row],[State_Code]],Territory_by_Code[],2)</f>
        <v>Oklahoma</v>
      </c>
      <c r="C2176" t="s">
        <v>260</v>
      </c>
      <c r="D2176">
        <v>62846</v>
      </c>
      <c r="E2176">
        <v>1058</v>
      </c>
    </row>
    <row r="2177" spans="1:5" x14ac:dyDescent="0.25">
      <c r="A2177" t="s">
        <v>1376</v>
      </c>
      <c r="B2177" t="str">
        <f>VLOOKUP(Counties_by_State_Code[[#This Row],[State_Code]],Territory_by_Code[],2)</f>
        <v>Oklahoma</v>
      </c>
      <c r="C2177" t="s">
        <v>1388</v>
      </c>
      <c r="D2177">
        <v>25656</v>
      </c>
      <c r="E2177">
        <v>809</v>
      </c>
    </row>
    <row r="2178" spans="1:5" x14ac:dyDescent="0.25">
      <c r="A2178" t="s">
        <v>1376</v>
      </c>
      <c r="B2178" t="str">
        <f>VLOOKUP(Counties_by_State_Code[[#This Row],[State_Code]],Territory_by_Code[],2)</f>
        <v>Oklahoma</v>
      </c>
      <c r="C2178" t="s">
        <v>414</v>
      </c>
      <c r="D2178">
        <v>54795</v>
      </c>
      <c r="E2178">
        <v>1101</v>
      </c>
    </row>
    <row r="2179" spans="1:5" x14ac:dyDescent="0.25">
      <c r="A2179" t="s">
        <v>1376</v>
      </c>
      <c r="B2179" t="str">
        <f>VLOOKUP(Counties_by_State_Code[[#This Row],[State_Code]],Territory_by_Code[],2)</f>
        <v>Oklahoma</v>
      </c>
      <c r="C2179" t="s">
        <v>143</v>
      </c>
      <c r="D2179">
        <v>4169</v>
      </c>
      <c r="E2179">
        <v>1001</v>
      </c>
    </row>
    <row r="2180" spans="1:5" x14ac:dyDescent="0.25">
      <c r="A2180" t="s">
        <v>1376</v>
      </c>
      <c r="B2180" t="str">
        <f>VLOOKUP(Counties_by_State_Code[[#This Row],[State_Code]],Territory_by_Code[],2)</f>
        <v>Oklahoma</v>
      </c>
      <c r="C2180" t="s">
        <v>1389</v>
      </c>
      <c r="D2180">
        <v>5491</v>
      </c>
      <c r="E2180">
        <v>639</v>
      </c>
    </row>
    <row r="2181" spans="1:5" x14ac:dyDescent="0.25">
      <c r="A2181" t="s">
        <v>1376</v>
      </c>
      <c r="B2181" t="str">
        <f>VLOOKUP(Counties_by_State_Code[[#This Row],[State_Code]],Territory_by_Code[],2)</f>
        <v>Oklahoma</v>
      </c>
      <c r="C2181" t="s">
        <v>1390</v>
      </c>
      <c r="D2181">
        <v>2488</v>
      </c>
      <c r="E2181">
        <v>538</v>
      </c>
    </row>
    <row r="2182" spans="1:5" x14ac:dyDescent="0.25">
      <c r="A2182" t="s">
        <v>1376</v>
      </c>
      <c r="B2182" t="str">
        <f>VLOOKUP(Counties_by_State_Code[[#This Row],[State_Code]],Territory_by_Code[],2)</f>
        <v>Oklahoma</v>
      </c>
      <c r="C2182" t="s">
        <v>682</v>
      </c>
      <c r="D2182">
        <v>3272</v>
      </c>
      <c r="E2182">
        <v>1039</v>
      </c>
    </row>
    <row r="2183" spans="1:5" x14ac:dyDescent="0.25">
      <c r="A2183" t="s">
        <v>1376</v>
      </c>
      <c r="B2183" t="str">
        <f>VLOOKUP(Counties_by_State_Code[[#This Row],[State_Code]],Territory_by_Code[],2)</f>
        <v>Oklahoma</v>
      </c>
      <c r="C2183" t="s">
        <v>684</v>
      </c>
      <c r="D2183">
        <v>11561</v>
      </c>
      <c r="E2183">
        <v>577</v>
      </c>
    </row>
    <row r="2184" spans="1:5" x14ac:dyDescent="0.25">
      <c r="A2184" t="s">
        <v>1376</v>
      </c>
      <c r="B2184" t="str">
        <f>VLOOKUP(Counties_by_State_Code[[#This Row],[State_Code]],Territory_by_Code[],2)</f>
        <v>Oklahoma</v>
      </c>
      <c r="C2184" t="s">
        <v>1391</v>
      </c>
      <c r="D2184">
        <v>13367</v>
      </c>
      <c r="E2184">
        <v>807</v>
      </c>
    </row>
    <row r="2185" spans="1:5" x14ac:dyDescent="0.25">
      <c r="A2185" t="s">
        <v>1376</v>
      </c>
      <c r="B2185" t="str">
        <f>VLOOKUP(Counties_by_State_Code[[#This Row],[State_Code]],Territory_by_Code[],2)</f>
        <v>Oklahoma</v>
      </c>
      <c r="C2185" t="s">
        <v>36</v>
      </c>
      <c r="D2185">
        <v>24785</v>
      </c>
      <c r="E2185">
        <v>803</v>
      </c>
    </row>
    <row r="2186" spans="1:5" x14ac:dyDescent="0.25">
      <c r="A2186" t="s">
        <v>1376</v>
      </c>
      <c r="B2186" t="str">
        <f>VLOOKUP(Counties_by_State_Code[[#This Row],[State_Code]],Territory_by_Code[],2)</f>
        <v>Oklahoma</v>
      </c>
      <c r="C2186" t="s">
        <v>37</v>
      </c>
      <c r="D2186">
        <v>5337</v>
      </c>
      <c r="E2186">
        <v>759</v>
      </c>
    </row>
    <row r="2187" spans="1:5" x14ac:dyDescent="0.25">
      <c r="A2187" t="s">
        <v>1376</v>
      </c>
      <c r="B2187" t="str">
        <f>VLOOKUP(Counties_by_State_Code[[#This Row],[State_Code]],Territory_by_Code[],2)</f>
        <v>Oklahoma</v>
      </c>
      <c r="C2187" t="s">
        <v>1274</v>
      </c>
      <c r="D2187">
        <v>10272</v>
      </c>
      <c r="E2187">
        <v>645</v>
      </c>
    </row>
    <row r="2188" spans="1:5" x14ac:dyDescent="0.25">
      <c r="A2188" t="s">
        <v>1376</v>
      </c>
      <c r="B2188" t="str">
        <f>VLOOKUP(Counties_by_State_Code[[#This Row],[State_Code]],Territory_by_Code[],2)</f>
        <v>Oklahoma</v>
      </c>
      <c r="C2188" t="s">
        <v>1392</v>
      </c>
      <c r="D2188">
        <v>43700</v>
      </c>
      <c r="E2188">
        <v>919</v>
      </c>
    </row>
    <row r="2189" spans="1:5" x14ac:dyDescent="0.25">
      <c r="A2189" t="s">
        <v>1376</v>
      </c>
      <c r="B2189" t="str">
        <f>VLOOKUP(Counties_by_State_Code[[#This Row],[State_Code]],Territory_by_Code[],2)</f>
        <v>Oklahoma</v>
      </c>
      <c r="C2189" t="s">
        <v>1393</v>
      </c>
      <c r="D2189">
        <v>15184</v>
      </c>
      <c r="E2189">
        <v>903</v>
      </c>
    </row>
    <row r="2190" spans="1:5" x14ac:dyDescent="0.25">
      <c r="A2190" t="s">
        <v>1376</v>
      </c>
      <c r="B2190" t="str">
        <f>VLOOKUP(Counties_by_State_Code[[#This Row],[State_Code]],Territory_by_Code[],2)</f>
        <v>Oklahoma</v>
      </c>
      <c r="C2190" t="s">
        <v>266</v>
      </c>
      <c r="D2190">
        <v>8509</v>
      </c>
      <c r="E2190">
        <v>1015</v>
      </c>
    </row>
    <row r="2191" spans="1:5" x14ac:dyDescent="0.25">
      <c r="A2191" t="s">
        <v>1376</v>
      </c>
      <c r="B2191" t="str">
        <f>VLOOKUP(Counties_by_State_Code[[#This Row],[State_Code]],Territory_by_Code[],2)</f>
        <v>Oklahoma</v>
      </c>
      <c r="C2191" t="s">
        <v>1394</v>
      </c>
      <c r="D2191">
        <v>9444</v>
      </c>
      <c r="E2191">
        <v>722</v>
      </c>
    </row>
    <row r="2192" spans="1:5" x14ac:dyDescent="0.25">
      <c r="A2192" t="s">
        <v>1376</v>
      </c>
      <c r="B2192" t="str">
        <f>VLOOKUP(Counties_by_State_Code[[#This Row],[State_Code]],Territory_by_Code[],2)</f>
        <v>Oklahoma</v>
      </c>
      <c r="C2192" t="s">
        <v>1395</v>
      </c>
      <c r="D2192">
        <v>48129</v>
      </c>
      <c r="E2192">
        <v>1586</v>
      </c>
    </row>
    <row r="2193" spans="1:5" x14ac:dyDescent="0.25">
      <c r="A2193" t="s">
        <v>1376</v>
      </c>
      <c r="B2193" t="str">
        <f>VLOOKUP(Counties_by_State_Code[[#This Row],[State_Code]],Territory_by_Code[],2)</f>
        <v>Oklahoma</v>
      </c>
      <c r="C2193" t="s">
        <v>151</v>
      </c>
      <c r="D2193">
        <v>33458</v>
      </c>
      <c r="E2193">
        <v>959</v>
      </c>
    </row>
    <row r="2194" spans="1:5" x14ac:dyDescent="0.25">
      <c r="A2194" t="s">
        <v>1376</v>
      </c>
      <c r="B2194" t="str">
        <f>VLOOKUP(Counties_by_State_Code[[#This Row],[State_Code]],Territory_by_Code[],2)</f>
        <v>Oklahoma</v>
      </c>
      <c r="C2194" t="s">
        <v>153</v>
      </c>
      <c r="D2194">
        <v>49555</v>
      </c>
      <c r="E2194">
        <v>745</v>
      </c>
    </row>
    <row r="2195" spans="1:5" x14ac:dyDescent="0.25">
      <c r="A2195" t="s">
        <v>1376</v>
      </c>
      <c r="B2195" t="str">
        <f>VLOOKUP(Counties_by_State_Code[[#This Row],[State_Code]],Territory_by_Code[],2)</f>
        <v>Oklahoma</v>
      </c>
      <c r="C2195" t="s">
        <v>1396</v>
      </c>
      <c r="D2195">
        <v>10146</v>
      </c>
      <c r="E2195">
        <v>515</v>
      </c>
    </row>
    <row r="2196" spans="1:5" x14ac:dyDescent="0.25">
      <c r="A2196" t="s">
        <v>1376</v>
      </c>
      <c r="B2196" t="str">
        <f>VLOOKUP(Counties_by_State_Code[[#This Row],[State_Code]],Territory_by_Code[],2)</f>
        <v>Oklahoma</v>
      </c>
      <c r="C2196" t="s">
        <v>1397</v>
      </c>
      <c r="D2196">
        <v>7782</v>
      </c>
      <c r="E2196">
        <v>570</v>
      </c>
    </row>
    <row r="2197" spans="1:5" x14ac:dyDescent="0.25">
      <c r="A2197" t="s">
        <v>1376</v>
      </c>
      <c r="B2197" t="str">
        <f>VLOOKUP(Counties_by_State_Code[[#This Row],[State_Code]],Territory_by_Code[],2)</f>
        <v>Oklahoma</v>
      </c>
      <c r="C2197" t="s">
        <v>48</v>
      </c>
      <c r="D2197">
        <v>15312</v>
      </c>
      <c r="E2197">
        <v>371</v>
      </c>
    </row>
    <row r="2198" spans="1:5" x14ac:dyDescent="0.25">
      <c r="A2198" t="s">
        <v>1376</v>
      </c>
      <c r="B2198" t="str">
        <f>VLOOKUP(Counties_by_State_Code[[#This Row],[State_Code]],Territory_by_Code[],2)</f>
        <v>Oklahoma</v>
      </c>
      <c r="C2198" t="s">
        <v>1398</v>
      </c>
      <c r="D2198">
        <v>39046</v>
      </c>
      <c r="E2198">
        <v>620</v>
      </c>
    </row>
    <row r="2199" spans="1:5" x14ac:dyDescent="0.25">
      <c r="A2199" t="s">
        <v>1376</v>
      </c>
      <c r="B2199" t="str">
        <f>VLOOKUP(Counties_by_State_Code[[#This Row],[State_Code]],Territory_by_Code[],2)</f>
        <v>Oklahoma</v>
      </c>
      <c r="C2199" t="s">
        <v>1399</v>
      </c>
      <c r="D2199">
        <v>41662</v>
      </c>
      <c r="E2199">
        <v>957</v>
      </c>
    </row>
    <row r="2200" spans="1:5" x14ac:dyDescent="0.25">
      <c r="A2200" t="s">
        <v>1376</v>
      </c>
      <c r="B2200" t="str">
        <f>VLOOKUP(Counties_by_State_Code[[#This Row],[State_Code]],Territory_by_Code[],2)</f>
        <v>Oklahoma</v>
      </c>
      <c r="C2200" t="s">
        <v>1400</v>
      </c>
      <c r="D2200">
        <v>30814</v>
      </c>
      <c r="E2200">
        <v>1850</v>
      </c>
    </row>
    <row r="2201" spans="1:5" x14ac:dyDescent="0.25">
      <c r="A2201" t="s">
        <v>1376</v>
      </c>
      <c r="B2201" t="str">
        <f>VLOOKUP(Counties_by_State_Code[[#This Row],[State_Code]],Territory_by_Code[],2)</f>
        <v>Oklahoma</v>
      </c>
      <c r="C2201" t="s">
        <v>433</v>
      </c>
      <c r="D2201">
        <v>18941</v>
      </c>
      <c r="E2201">
        <v>656</v>
      </c>
    </row>
    <row r="2202" spans="1:5" x14ac:dyDescent="0.25">
      <c r="A2202" t="s">
        <v>1376</v>
      </c>
      <c r="B2202" t="str">
        <f>VLOOKUP(Counties_by_State_Code[[#This Row],[State_Code]],Territory_by_Code[],2)</f>
        <v>Oklahoma</v>
      </c>
      <c r="C2202" t="s">
        <v>436</v>
      </c>
      <c r="D2202">
        <v>13904</v>
      </c>
      <c r="E2202">
        <v>418</v>
      </c>
    </row>
    <row r="2203" spans="1:5" x14ac:dyDescent="0.25">
      <c r="A2203" t="s">
        <v>1376</v>
      </c>
      <c r="B2203" t="str">
        <f>VLOOKUP(Counties_by_State_Code[[#This Row],[State_Code]],Territory_by_Code[],2)</f>
        <v>Oklahoma</v>
      </c>
      <c r="C2203" t="s">
        <v>1401</v>
      </c>
      <c r="D2203">
        <v>66339</v>
      </c>
      <c r="E2203">
        <v>814</v>
      </c>
    </row>
    <row r="2204" spans="1:5" x14ac:dyDescent="0.25">
      <c r="A2204" t="s">
        <v>1376</v>
      </c>
      <c r="B2204" t="str">
        <f>VLOOKUP(Counties_by_State_Code[[#This Row],[State_Code]],Territory_by_Code[],2)</f>
        <v>Oklahoma</v>
      </c>
      <c r="C2204" t="s">
        <v>592</v>
      </c>
      <c r="D2204">
        <v>10924</v>
      </c>
      <c r="E2204">
        <v>732</v>
      </c>
    </row>
    <row r="2205" spans="1:5" x14ac:dyDescent="0.25">
      <c r="A2205" t="s">
        <v>1376</v>
      </c>
      <c r="B2205" t="str">
        <f>VLOOKUP(Counties_by_State_Code[[#This Row],[State_Code]],Territory_by_Code[],2)</f>
        <v>Oklahoma</v>
      </c>
      <c r="C2205" t="s">
        <v>1402</v>
      </c>
      <c r="D2205">
        <v>9320</v>
      </c>
      <c r="E2205">
        <v>565</v>
      </c>
    </row>
    <row r="2206" spans="1:5" x14ac:dyDescent="0.25">
      <c r="A2206" t="s">
        <v>1376</v>
      </c>
      <c r="B2206" t="str">
        <f>VLOOKUP(Counties_by_State_Code[[#This Row],[State_Code]],Territory_by_Code[],2)</f>
        <v>Oklahoma</v>
      </c>
      <c r="C2206" t="s">
        <v>1403</v>
      </c>
      <c r="D2206">
        <v>11310</v>
      </c>
      <c r="E2206">
        <v>625</v>
      </c>
    </row>
    <row r="2207" spans="1:5" x14ac:dyDescent="0.25">
      <c r="A2207" t="s">
        <v>1376</v>
      </c>
      <c r="B2207" t="str">
        <f>VLOOKUP(Counties_by_State_Code[[#This Row],[State_Code]],Territory_by_Code[],2)</f>
        <v>Oklahoma</v>
      </c>
      <c r="C2207" t="s">
        <v>1404</v>
      </c>
      <c r="D2207">
        <v>796292</v>
      </c>
      <c r="E2207">
        <v>709</v>
      </c>
    </row>
    <row r="2208" spans="1:5" x14ac:dyDescent="0.25">
      <c r="A2208" t="s">
        <v>1376</v>
      </c>
      <c r="B2208" t="str">
        <f>VLOOKUP(Counties_by_State_Code[[#This Row],[State_Code]],Territory_by_Code[],2)</f>
        <v>Oklahoma</v>
      </c>
      <c r="C2208" t="s">
        <v>1405</v>
      </c>
      <c r="D2208">
        <v>36706</v>
      </c>
      <c r="E2208">
        <v>697</v>
      </c>
    </row>
    <row r="2209" spans="1:5" x14ac:dyDescent="0.25">
      <c r="A2209" t="s">
        <v>1376</v>
      </c>
      <c r="B2209" t="str">
        <f>VLOOKUP(Counties_by_State_Code[[#This Row],[State_Code]],Territory_by_Code[],2)</f>
        <v>Oklahoma</v>
      </c>
      <c r="C2209" t="s">
        <v>700</v>
      </c>
      <c r="D2209">
        <v>45818</v>
      </c>
      <c r="E2209">
        <v>2251</v>
      </c>
    </row>
    <row r="2210" spans="1:5" x14ac:dyDescent="0.25">
      <c r="A2210" t="s">
        <v>1376</v>
      </c>
      <c r="B2210" t="str">
        <f>VLOOKUP(Counties_by_State_Code[[#This Row],[State_Code]],Territory_by_Code[],2)</f>
        <v>Oklahoma</v>
      </c>
      <c r="C2210" t="s">
        <v>702</v>
      </c>
      <c r="D2210">
        <v>30285</v>
      </c>
      <c r="E2210">
        <v>471</v>
      </c>
    </row>
    <row r="2211" spans="1:5" x14ac:dyDescent="0.25">
      <c r="A2211" t="s">
        <v>1376</v>
      </c>
      <c r="B2211" t="str">
        <f>VLOOKUP(Counties_by_State_Code[[#This Row],[State_Code]],Territory_by_Code[],2)</f>
        <v>Oklahoma</v>
      </c>
      <c r="C2211" t="s">
        <v>703</v>
      </c>
      <c r="D2211">
        <v>15553</v>
      </c>
      <c r="E2211">
        <v>570</v>
      </c>
    </row>
    <row r="2212" spans="1:5" x14ac:dyDescent="0.25">
      <c r="A2212" t="s">
        <v>1376</v>
      </c>
      <c r="B2212" t="str">
        <f>VLOOKUP(Counties_by_State_Code[[#This Row],[State_Code]],Territory_by_Code[],2)</f>
        <v>Oklahoma</v>
      </c>
      <c r="C2212" t="s">
        <v>1406</v>
      </c>
      <c r="D2212">
        <v>81646</v>
      </c>
      <c r="E2212">
        <v>686</v>
      </c>
    </row>
    <row r="2213" spans="1:5" x14ac:dyDescent="0.25">
      <c r="A2213" t="s">
        <v>1376</v>
      </c>
      <c r="B2213" t="str">
        <f>VLOOKUP(Counties_by_State_Code[[#This Row],[State_Code]],Territory_by_Code[],2)</f>
        <v>Oklahoma</v>
      </c>
      <c r="C2213" t="s">
        <v>1407</v>
      </c>
      <c r="D2213">
        <v>43773</v>
      </c>
      <c r="E2213">
        <v>1306</v>
      </c>
    </row>
    <row r="2214" spans="1:5" x14ac:dyDescent="0.25">
      <c r="A2214" t="s">
        <v>1376</v>
      </c>
      <c r="B2214" t="str">
        <f>VLOOKUP(Counties_by_State_Code[[#This Row],[State_Code]],Territory_by_Code[],2)</f>
        <v>Oklahoma</v>
      </c>
      <c r="C2214" t="s">
        <v>1019</v>
      </c>
      <c r="D2214">
        <v>38065</v>
      </c>
      <c r="E2214">
        <v>720</v>
      </c>
    </row>
    <row r="2215" spans="1:5" x14ac:dyDescent="0.25">
      <c r="A2215" t="s">
        <v>1376</v>
      </c>
      <c r="B2215" t="str">
        <f>VLOOKUP(Counties_by_State_Code[[#This Row],[State_Code]],Territory_by_Code[],2)</f>
        <v>Oklahoma</v>
      </c>
      <c r="C2215" t="s">
        <v>704</v>
      </c>
      <c r="D2215">
        <v>72454</v>
      </c>
      <c r="E2215">
        <v>788</v>
      </c>
    </row>
    <row r="2216" spans="1:5" x14ac:dyDescent="0.25">
      <c r="A2216" t="s">
        <v>1376</v>
      </c>
      <c r="B2216" t="str">
        <f>VLOOKUP(Counties_by_State_Code[[#This Row],[State_Code]],Territory_by_Code[],2)</f>
        <v>Oklahoma</v>
      </c>
      <c r="C2216" t="s">
        <v>1408</v>
      </c>
      <c r="D2216">
        <v>10812</v>
      </c>
      <c r="E2216">
        <v>1397</v>
      </c>
    </row>
    <row r="2217" spans="1:5" x14ac:dyDescent="0.25">
      <c r="A2217" t="s">
        <v>1376</v>
      </c>
      <c r="B2217" t="str">
        <f>VLOOKUP(Counties_by_State_Code[[#This Row],[State_Code]],Territory_by_Code[],2)</f>
        <v>Oklahoma</v>
      </c>
      <c r="C2217" t="s">
        <v>1409</v>
      </c>
      <c r="D2217">
        <v>3442</v>
      </c>
      <c r="E2217">
        <v>1142</v>
      </c>
    </row>
    <row r="2218" spans="1:5" x14ac:dyDescent="0.25">
      <c r="A2218" t="s">
        <v>1376</v>
      </c>
      <c r="B2218" t="str">
        <f>VLOOKUP(Counties_by_State_Code[[#This Row],[State_Code]],Territory_by_Code[],2)</f>
        <v>Oklahoma</v>
      </c>
      <c r="C2218" t="s">
        <v>1410</v>
      </c>
      <c r="D2218">
        <v>95240</v>
      </c>
      <c r="E2218">
        <v>675</v>
      </c>
    </row>
    <row r="2219" spans="1:5" x14ac:dyDescent="0.25">
      <c r="A2219" t="s">
        <v>1376</v>
      </c>
      <c r="B2219" t="str">
        <f>VLOOKUP(Counties_by_State_Code[[#This Row],[State_Code]],Territory_by_Code[],2)</f>
        <v>Oklahoma</v>
      </c>
      <c r="C2219" t="s">
        <v>360</v>
      </c>
      <c r="D2219">
        <v>23556</v>
      </c>
      <c r="E2219">
        <v>632</v>
      </c>
    </row>
    <row r="2220" spans="1:5" x14ac:dyDescent="0.25">
      <c r="A2220" t="s">
        <v>1376</v>
      </c>
      <c r="B2220" t="str">
        <f>VLOOKUP(Counties_by_State_Code[[#This Row],[State_Code]],Territory_by_Code[],2)</f>
        <v>Oklahoma</v>
      </c>
      <c r="C2220" t="s">
        <v>1411</v>
      </c>
      <c r="D2220">
        <v>39281</v>
      </c>
      <c r="E2220">
        <v>674</v>
      </c>
    </row>
    <row r="2221" spans="1:5" x14ac:dyDescent="0.25">
      <c r="A2221" t="s">
        <v>1376</v>
      </c>
      <c r="B2221" t="str">
        <f>VLOOKUP(Counties_by_State_Code[[#This Row],[State_Code]],Territory_by_Code[],2)</f>
        <v>Oklahoma</v>
      </c>
      <c r="C2221" t="s">
        <v>450</v>
      </c>
      <c r="D2221">
        <v>42848</v>
      </c>
      <c r="E2221">
        <v>877</v>
      </c>
    </row>
    <row r="2222" spans="1:5" x14ac:dyDescent="0.25">
      <c r="A2222" t="s">
        <v>1376</v>
      </c>
      <c r="B2222" t="str">
        <f>VLOOKUP(Counties_by_State_Code[[#This Row],[State_Code]],Territory_by_Code[],2)</f>
        <v>Oklahoma</v>
      </c>
      <c r="C2222" t="s">
        <v>1070</v>
      </c>
      <c r="D2222">
        <v>21384</v>
      </c>
      <c r="E2222">
        <v>2037</v>
      </c>
    </row>
    <row r="2223" spans="1:5" x14ac:dyDescent="0.25">
      <c r="A2223" t="s">
        <v>1376</v>
      </c>
      <c r="B2223" t="str">
        <f>VLOOKUP(Counties_by_State_Code[[#This Row],[State_Code]],Territory_by_Code[],2)</f>
        <v>Oklahoma</v>
      </c>
      <c r="C2223" t="s">
        <v>1412</v>
      </c>
      <c r="D2223">
        <v>6968</v>
      </c>
      <c r="E2223">
        <v>872</v>
      </c>
    </row>
    <row r="2224" spans="1:5" x14ac:dyDescent="0.25">
      <c r="A2224" t="s">
        <v>1376</v>
      </c>
      <c r="B2224" t="str">
        <f>VLOOKUP(Counties_by_State_Code[[#This Row],[State_Code]],Territory_by_Code[],2)</f>
        <v>Oklahoma</v>
      </c>
      <c r="C2224" t="s">
        <v>1413</v>
      </c>
      <c r="D2224">
        <v>669279</v>
      </c>
      <c r="E2224">
        <v>570</v>
      </c>
    </row>
    <row r="2225" spans="1:5" x14ac:dyDescent="0.25">
      <c r="A2225" t="s">
        <v>1376</v>
      </c>
      <c r="B2225" t="str">
        <f>VLOOKUP(Counties_by_State_Code[[#This Row],[State_Code]],Territory_by_Code[],2)</f>
        <v>Oklahoma</v>
      </c>
      <c r="C2225" t="s">
        <v>1414</v>
      </c>
      <c r="D2225">
        <v>80981</v>
      </c>
      <c r="E2225">
        <v>563</v>
      </c>
    </row>
    <row r="2226" spans="1:5" x14ac:dyDescent="0.25">
      <c r="A2226" t="s">
        <v>1376</v>
      </c>
      <c r="B2226" t="str">
        <f>VLOOKUP(Counties_by_State_Code[[#This Row],[State_Code]],Territory_by_Code[],2)</f>
        <v>Oklahoma</v>
      </c>
      <c r="C2226" t="s">
        <v>65</v>
      </c>
      <c r="D2226">
        <v>52455</v>
      </c>
      <c r="E2226">
        <v>417</v>
      </c>
    </row>
    <row r="2227" spans="1:5" x14ac:dyDescent="0.25">
      <c r="A2227" t="s">
        <v>1376</v>
      </c>
      <c r="B2227" t="str">
        <f>VLOOKUP(Counties_by_State_Code[[#This Row],[State_Code]],Territory_by_Code[],2)</f>
        <v>Oklahoma</v>
      </c>
      <c r="C2227" t="s">
        <v>1415</v>
      </c>
      <c r="D2227">
        <v>10924</v>
      </c>
      <c r="E2227">
        <v>1004</v>
      </c>
    </row>
    <row r="2228" spans="1:5" x14ac:dyDescent="0.25">
      <c r="A2228" t="s">
        <v>1376</v>
      </c>
      <c r="B2228" t="str">
        <f>VLOOKUP(Counties_by_State_Code[[#This Row],[State_Code]],Territory_by_Code[],2)</f>
        <v>Oklahoma</v>
      </c>
      <c r="C2228" t="s">
        <v>1416</v>
      </c>
      <c r="D2228">
        <v>8624</v>
      </c>
      <c r="E2228">
        <v>1287</v>
      </c>
    </row>
    <row r="2229" spans="1:5" x14ac:dyDescent="0.25">
      <c r="A2229" t="s">
        <v>1376</v>
      </c>
      <c r="B2229" t="str">
        <f>VLOOKUP(Counties_by_State_Code[[#This Row],[State_Code]],Territory_by_Code[],2)</f>
        <v>Oklahoma</v>
      </c>
      <c r="C2229" t="s">
        <v>1417</v>
      </c>
      <c r="D2229">
        <v>20470</v>
      </c>
      <c r="E2229">
        <v>1242</v>
      </c>
    </row>
    <row r="2230" spans="1:5" x14ac:dyDescent="0.25">
      <c r="A2230" t="s">
        <v>1418</v>
      </c>
      <c r="B2230" t="str">
        <f>VLOOKUP(Counties_by_State_Code[[#This Row],[State_Code]],Territory_by_Code[],2)</f>
        <v>Oregon</v>
      </c>
      <c r="C2230" t="s">
        <v>318</v>
      </c>
      <c r="D2230">
        <v>16668</v>
      </c>
      <c r="E2230">
        <v>3068</v>
      </c>
    </row>
    <row r="2231" spans="1:5" x14ac:dyDescent="0.25">
      <c r="A2231" t="s">
        <v>1418</v>
      </c>
      <c r="B2231" t="str">
        <f>VLOOKUP(Counties_by_State_Code[[#This Row],[State_Code]],Territory_by_Code[],2)</f>
        <v>Oregon</v>
      </c>
      <c r="C2231" t="s">
        <v>125</v>
      </c>
      <c r="D2231">
        <v>95184</v>
      </c>
      <c r="E2231">
        <v>676</v>
      </c>
    </row>
    <row r="2232" spans="1:5" x14ac:dyDescent="0.25">
      <c r="A2232" t="s">
        <v>1418</v>
      </c>
      <c r="B2232" t="str">
        <f>VLOOKUP(Counties_by_State_Code[[#This Row],[State_Code]],Territory_by_Code[],2)</f>
        <v>Oregon</v>
      </c>
      <c r="C2232" t="s">
        <v>1419</v>
      </c>
      <c r="D2232">
        <v>421401</v>
      </c>
      <c r="E2232">
        <v>868</v>
      </c>
    </row>
    <row r="2233" spans="1:5" x14ac:dyDescent="0.25">
      <c r="A2233" t="s">
        <v>1418</v>
      </c>
      <c r="B2233" t="str">
        <f>VLOOKUP(Counties_by_State_Code[[#This Row],[State_Code]],Territory_by_Code[],2)</f>
        <v>Oregon</v>
      </c>
      <c r="C2233" t="s">
        <v>1420</v>
      </c>
      <c r="D2233">
        <v>41072</v>
      </c>
      <c r="E2233">
        <v>827</v>
      </c>
    </row>
    <row r="2234" spans="1:5" x14ac:dyDescent="0.25">
      <c r="A2234" t="s">
        <v>1418</v>
      </c>
      <c r="B2234" t="str">
        <f>VLOOKUP(Counties_by_State_Code[[#This Row],[State_Code]],Territory_by_Code[],2)</f>
        <v>Oregon</v>
      </c>
      <c r="C2234" t="s">
        <v>132</v>
      </c>
      <c r="D2234">
        <v>52589</v>
      </c>
      <c r="E2234">
        <v>657</v>
      </c>
    </row>
    <row r="2235" spans="1:5" x14ac:dyDescent="0.25">
      <c r="A2235" t="s">
        <v>1418</v>
      </c>
      <c r="B2235" t="str">
        <f>VLOOKUP(Counties_by_State_Code[[#This Row],[State_Code]],Territory_by_Code[],2)</f>
        <v>Oregon</v>
      </c>
      <c r="C2235" t="s">
        <v>1165</v>
      </c>
      <c r="D2235">
        <v>64929</v>
      </c>
      <c r="E2235">
        <v>1600</v>
      </c>
    </row>
    <row r="2236" spans="1:5" x14ac:dyDescent="0.25">
      <c r="A2236" t="s">
        <v>1418</v>
      </c>
      <c r="B2236" t="str">
        <f>VLOOKUP(Counties_by_State_Code[[#This Row],[State_Code]],Territory_by_Code[],2)</f>
        <v>Oregon</v>
      </c>
      <c r="C2236" t="s">
        <v>1421</v>
      </c>
      <c r="D2236">
        <v>24738</v>
      </c>
      <c r="E2236">
        <v>2980</v>
      </c>
    </row>
    <row r="2237" spans="1:5" x14ac:dyDescent="0.25">
      <c r="A2237" t="s">
        <v>1418</v>
      </c>
      <c r="B2237" t="str">
        <f>VLOOKUP(Counties_by_State_Code[[#This Row],[State_Code]],Territory_by_Code[],2)</f>
        <v>Oregon</v>
      </c>
      <c r="C2237" t="s">
        <v>1187</v>
      </c>
      <c r="D2237">
        <v>23446</v>
      </c>
      <c r="E2237">
        <v>1627</v>
      </c>
    </row>
    <row r="2238" spans="1:5" x14ac:dyDescent="0.25">
      <c r="A2238" t="s">
        <v>1418</v>
      </c>
      <c r="B2238" t="str">
        <f>VLOOKUP(Counties_by_State_Code[[#This Row],[State_Code]],Territory_by_Code[],2)</f>
        <v>Oregon</v>
      </c>
      <c r="C2238" t="s">
        <v>1422</v>
      </c>
      <c r="D2238">
        <v>198253</v>
      </c>
      <c r="E2238">
        <v>3018</v>
      </c>
    </row>
    <row r="2239" spans="1:5" x14ac:dyDescent="0.25">
      <c r="A2239" t="s">
        <v>1418</v>
      </c>
      <c r="B2239" t="str">
        <f>VLOOKUP(Counties_by_State_Code[[#This Row],[State_Code]],Territory_by_Code[],2)</f>
        <v>Oregon</v>
      </c>
      <c r="C2239" t="s">
        <v>255</v>
      </c>
      <c r="D2239">
        <v>111201</v>
      </c>
      <c r="E2239">
        <v>5037</v>
      </c>
    </row>
    <row r="2240" spans="1:5" x14ac:dyDescent="0.25">
      <c r="A2240" t="s">
        <v>1418</v>
      </c>
      <c r="B2240" t="str">
        <f>VLOOKUP(Counties_by_State_Code[[#This Row],[State_Code]],Territory_by_Code[],2)</f>
        <v>Oregon</v>
      </c>
      <c r="C2240" t="s">
        <v>1423</v>
      </c>
      <c r="D2240">
        <v>1995</v>
      </c>
      <c r="E2240">
        <v>1204</v>
      </c>
    </row>
    <row r="2241" spans="1:5" x14ac:dyDescent="0.25">
      <c r="A2241" t="s">
        <v>1418</v>
      </c>
      <c r="B2241" t="str">
        <f>VLOOKUP(Counties_by_State_Code[[#This Row],[State_Code]],Territory_by_Code[],2)</f>
        <v>Oregon</v>
      </c>
      <c r="C2241" t="s">
        <v>143</v>
      </c>
      <c r="D2241">
        <v>7233</v>
      </c>
      <c r="E2241">
        <v>4529</v>
      </c>
    </row>
    <row r="2242" spans="1:5" x14ac:dyDescent="0.25">
      <c r="A2242" t="s">
        <v>1418</v>
      </c>
      <c r="B2242" t="str">
        <f>VLOOKUP(Counties_by_State_Code[[#This Row],[State_Code]],Territory_by_Code[],2)</f>
        <v>Oregon</v>
      </c>
      <c r="C2242" t="s">
        <v>1424</v>
      </c>
      <c r="D2242">
        <v>7495</v>
      </c>
      <c r="E2242">
        <v>10135</v>
      </c>
    </row>
    <row r="2243" spans="1:5" x14ac:dyDescent="0.25">
      <c r="A2243" t="s">
        <v>1418</v>
      </c>
      <c r="B2243" t="str">
        <f>VLOOKUP(Counties_by_State_Code[[#This Row],[State_Code]],Territory_by_Code[],2)</f>
        <v>Oregon</v>
      </c>
      <c r="C2243" t="s">
        <v>1425</v>
      </c>
      <c r="D2243">
        <v>23977</v>
      </c>
      <c r="E2243">
        <v>522</v>
      </c>
    </row>
    <row r="2244" spans="1:5" x14ac:dyDescent="0.25">
      <c r="A2244" t="s">
        <v>1418</v>
      </c>
      <c r="B2244" t="str">
        <f>VLOOKUP(Counties_by_State_Code[[#This Row],[State_Code]],Territory_by_Code[],2)</f>
        <v>Oregon</v>
      </c>
      <c r="C2244" t="s">
        <v>36</v>
      </c>
      <c r="D2244">
        <v>223259</v>
      </c>
      <c r="E2244">
        <v>2785</v>
      </c>
    </row>
    <row r="2245" spans="1:5" x14ac:dyDescent="0.25">
      <c r="A2245" t="s">
        <v>1418</v>
      </c>
      <c r="B2245" t="str">
        <f>VLOOKUP(Counties_by_State_Code[[#This Row],[State_Code]],Territory_by_Code[],2)</f>
        <v>Oregon</v>
      </c>
      <c r="C2245" t="s">
        <v>37</v>
      </c>
      <c r="D2245">
        <v>24502</v>
      </c>
      <c r="E2245">
        <v>1781</v>
      </c>
    </row>
    <row r="2246" spans="1:5" x14ac:dyDescent="0.25">
      <c r="A2246" t="s">
        <v>1418</v>
      </c>
      <c r="B2246" t="str">
        <f>VLOOKUP(Counties_by_State_Code[[#This Row],[State_Code]],Territory_by_Code[],2)</f>
        <v>Oregon</v>
      </c>
      <c r="C2246" t="s">
        <v>1426</v>
      </c>
      <c r="D2246">
        <v>88090</v>
      </c>
      <c r="E2246">
        <v>1640</v>
      </c>
    </row>
    <row r="2247" spans="1:5" x14ac:dyDescent="0.25">
      <c r="A2247" t="s">
        <v>1418</v>
      </c>
      <c r="B2247" t="str">
        <f>VLOOKUP(Counties_by_State_Code[[#This Row],[State_Code]],Territory_by_Code[],2)</f>
        <v>Oregon</v>
      </c>
      <c r="C2247" t="s">
        <v>1427</v>
      </c>
      <c r="D2247">
        <v>69413</v>
      </c>
      <c r="E2247">
        <v>5945</v>
      </c>
    </row>
    <row r="2248" spans="1:5" x14ac:dyDescent="0.25">
      <c r="A2248" t="s">
        <v>1418</v>
      </c>
      <c r="B2248" t="str">
        <f>VLOOKUP(Counties_by_State_Code[[#This Row],[State_Code]],Territory_by_Code[],2)</f>
        <v>Oregon</v>
      </c>
      <c r="C2248" t="s">
        <v>196</v>
      </c>
      <c r="D2248">
        <v>8160</v>
      </c>
      <c r="E2248">
        <v>7940</v>
      </c>
    </row>
    <row r="2249" spans="1:5" x14ac:dyDescent="0.25">
      <c r="A2249" t="s">
        <v>1418</v>
      </c>
      <c r="B2249" t="str">
        <f>VLOOKUP(Counties_by_State_Code[[#This Row],[State_Code]],Territory_by_Code[],2)</f>
        <v>Oregon</v>
      </c>
      <c r="C2249" t="s">
        <v>690</v>
      </c>
      <c r="D2249">
        <v>382971</v>
      </c>
      <c r="E2249">
        <v>4554</v>
      </c>
    </row>
    <row r="2250" spans="1:5" x14ac:dyDescent="0.25">
      <c r="A2250" t="s">
        <v>1418</v>
      </c>
      <c r="B2250" t="str">
        <f>VLOOKUP(Counties_by_State_Code[[#This Row],[State_Code]],Territory_by_Code[],2)</f>
        <v>Oregon</v>
      </c>
      <c r="C2250" t="s">
        <v>151</v>
      </c>
      <c r="D2250">
        <v>50395</v>
      </c>
      <c r="E2250">
        <v>980</v>
      </c>
    </row>
    <row r="2251" spans="1:5" x14ac:dyDescent="0.25">
      <c r="A2251" t="s">
        <v>1418</v>
      </c>
      <c r="B2251" t="str">
        <f>VLOOKUP(Counties_by_State_Code[[#This Row],[State_Code]],Territory_by_Code[],2)</f>
        <v>Oregon</v>
      </c>
      <c r="C2251" t="s">
        <v>636</v>
      </c>
      <c r="D2251">
        <v>128610</v>
      </c>
      <c r="E2251">
        <v>2291</v>
      </c>
    </row>
    <row r="2252" spans="1:5" x14ac:dyDescent="0.25">
      <c r="A2252" t="s">
        <v>1418</v>
      </c>
      <c r="B2252" t="str">
        <f>VLOOKUP(Counties_by_State_Code[[#This Row],[State_Code]],Territory_by_Code[],2)</f>
        <v>Oregon</v>
      </c>
      <c r="C2252" t="s">
        <v>1428</v>
      </c>
      <c r="D2252">
        <v>31571</v>
      </c>
      <c r="E2252">
        <v>9888</v>
      </c>
    </row>
    <row r="2253" spans="1:5" x14ac:dyDescent="0.25">
      <c r="A2253" t="s">
        <v>1418</v>
      </c>
      <c r="B2253" t="str">
        <f>VLOOKUP(Counties_by_State_Code[[#This Row],[State_Code]],Territory_by_Code[],2)</f>
        <v>Oregon</v>
      </c>
      <c r="C2253" t="s">
        <v>47</v>
      </c>
      <c r="D2253">
        <v>345920</v>
      </c>
      <c r="E2253">
        <v>1185</v>
      </c>
    </row>
    <row r="2254" spans="1:5" x14ac:dyDescent="0.25">
      <c r="A2254" t="s">
        <v>1418</v>
      </c>
      <c r="B2254" t="str">
        <f>VLOOKUP(Counties_by_State_Code[[#This Row],[State_Code]],Territory_by_Code[],2)</f>
        <v>Oregon</v>
      </c>
      <c r="C2254" t="s">
        <v>1362</v>
      </c>
      <c r="D2254">
        <v>12186</v>
      </c>
      <c r="E2254">
        <v>2033</v>
      </c>
    </row>
    <row r="2255" spans="1:5" x14ac:dyDescent="0.25">
      <c r="A2255" t="s">
        <v>1418</v>
      </c>
      <c r="B2255" t="str">
        <f>VLOOKUP(Counties_by_State_Code[[#This Row],[State_Code]],Territory_by_Code[],2)</f>
        <v>Oregon</v>
      </c>
      <c r="C2255" t="s">
        <v>1429</v>
      </c>
      <c r="D2255">
        <v>815428</v>
      </c>
      <c r="E2255">
        <v>435</v>
      </c>
    </row>
    <row r="2256" spans="1:5" x14ac:dyDescent="0.25">
      <c r="A2256" t="s">
        <v>1418</v>
      </c>
      <c r="B2256" t="str">
        <f>VLOOKUP(Counties_by_State_Code[[#This Row],[State_Code]],Territory_by_Code[],2)</f>
        <v>Oregon</v>
      </c>
      <c r="C2256" t="s">
        <v>162</v>
      </c>
      <c r="D2256">
        <v>87433</v>
      </c>
      <c r="E2256">
        <v>741</v>
      </c>
    </row>
    <row r="2257" spans="1:5" x14ac:dyDescent="0.25">
      <c r="A2257" t="s">
        <v>1418</v>
      </c>
      <c r="B2257" t="str">
        <f>VLOOKUP(Counties_by_State_Code[[#This Row],[State_Code]],Territory_by_Code[],2)</f>
        <v>Oregon</v>
      </c>
      <c r="C2257" t="s">
        <v>715</v>
      </c>
      <c r="D2257">
        <v>1870</v>
      </c>
      <c r="E2257">
        <v>823</v>
      </c>
    </row>
    <row r="2258" spans="1:5" x14ac:dyDescent="0.25">
      <c r="A2258" t="s">
        <v>1418</v>
      </c>
      <c r="B2258" t="str">
        <f>VLOOKUP(Counties_by_State_Code[[#This Row],[State_Code]],Territory_by_Code[],2)</f>
        <v>Oregon</v>
      </c>
      <c r="C2258" t="s">
        <v>1430</v>
      </c>
      <c r="D2258">
        <v>27390</v>
      </c>
      <c r="E2258">
        <v>1102</v>
      </c>
    </row>
    <row r="2259" spans="1:5" x14ac:dyDescent="0.25">
      <c r="A2259" t="s">
        <v>1418</v>
      </c>
      <c r="B2259" t="str">
        <f>VLOOKUP(Counties_by_State_Code[[#This Row],[State_Code]],Territory_by_Code[],2)</f>
        <v>Oregon</v>
      </c>
      <c r="C2259" t="s">
        <v>1431</v>
      </c>
      <c r="D2259">
        <v>80075</v>
      </c>
      <c r="E2259">
        <v>3215</v>
      </c>
    </row>
    <row r="2260" spans="1:5" x14ac:dyDescent="0.25">
      <c r="A2260" t="s">
        <v>1418</v>
      </c>
      <c r="B2260" t="str">
        <f>VLOOKUP(Counties_by_State_Code[[#This Row],[State_Code]],Territory_by_Code[],2)</f>
        <v>Oregon</v>
      </c>
      <c r="C2260" t="s">
        <v>174</v>
      </c>
      <c r="D2260">
        <v>26196</v>
      </c>
      <c r="E2260">
        <v>2037</v>
      </c>
    </row>
    <row r="2261" spans="1:5" x14ac:dyDescent="0.25">
      <c r="A2261" t="s">
        <v>1418</v>
      </c>
      <c r="B2261" t="str">
        <f>VLOOKUP(Counties_by_State_Code[[#This Row],[State_Code]],Territory_by_Code[],2)</f>
        <v>Oregon</v>
      </c>
      <c r="C2261" t="s">
        <v>1432</v>
      </c>
      <c r="D2261">
        <v>7391</v>
      </c>
      <c r="E2261">
        <v>3145</v>
      </c>
    </row>
    <row r="2262" spans="1:5" x14ac:dyDescent="0.25">
      <c r="A2262" t="s">
        <v>1418</v>
      </c>
      <c r="B2262" t="str">
        <f>VLOOKUP(Counties_by_State_Code[[#This Row],[State_Code]],Territory_by_Code[],2)</f>
        <v>Oregon</v>
      </c>
      <c r="C2262" t="s">
        <v>1433</v>
      </c>
      <c r="D2262">
        <v>26670</v>
      </c>
      <c r="E2262">
        <v>2381</v>
      </c>
    </row>
    <row r="2263" spans="1:5" x14ac:dyDescent="0.25">
      <c r="A2263" t="s">
        <v>1418</v>
      </c>
      <c r="B2263" t="str">
        <f>VLOOKUP(Counties_by_State_Code[[#This Row],[State_Code]],Territory_by_Code[],2)</f>
        <v>Oregon</v>
      </c>
      <c r="C2263" t="s">
        <v>65</v>
      </c>
      <c r="D2263">
        <v>600372</v>
      </c>
      <c r="E2263">
        <v>724</v>
      </c>
    </row>
    <row r="2264" spans="1:5" x14ac:dyDescent="0.25">
      <c r="A2264" t="s">
        <v>1418</v>
      </c>
      <c r="B2264" t="str">
        <f>VLOOKUP(Counties_by_State_Code[[#This Row],[State_Code]],Territory_by_Code[],2)</f>
        <v>Oregon</v>
      </c>
      <c r="C2264" t="s">
        <v>470</v>
      </c>
      <c r="D2264">
        <v>1451</v>
      </c>
      <c r="E2264">
        <v>1715</v>
      </c>
    </row>
    <row r="2265" spans="1:5" x14ac:dyDescent="0.25">
      <c r="A2265" t="s">
        <v>1418</v>
      </c>
      <c r="B2265" t="str">
        <f>VLOOKUP(Counties_by_State_Code[[#This Row],[State_Code]],Territory_by_Code[],2)</f>
        <v>Oregon</v>
      </c>
      <c r="C2265" t="s">
        <v>1434</v>
      </c>
      <c r="D2265">
        <v>107722</v>
      </c>
      <c r="E2265">
        <v>716</v>
      </c>
    </row>
    <row r="2266" spans="1:5" x14ac:dyDescent="0.25">
      <c r="A2266" t="s">
        <v>1435</v>
      </c>
      <c r="B2266" t="str">
        <f>VLOOKUP(Counties_by_State_Code[[#This Row],[State_Code]],Territory_by_Code[],2)</f>
        <v>Pennsylvania</v>
      </c>
      <c r="C2266" t="s">
        <v>236</v>
      </c>
      <c r="D2266">
        <v>103852</v>
      </c>
      <c r="E2266">
        <v>522</v>
      </c>
    </row>
    <row r="2267" spans="1:5" x14ac:dyDescent="0.25">
      <c r="A2267" t="s">
        <v>1435</v>
      </c>
      <c r="B2267" t="str">
        <f>VLOOKUP(Counties_by_State_Code[[#This Row],[State_Code]],Territory_by_Code[],2)</f>
        <v>Pennsylvania</v>
      </c>
      <c r="C2267" t="s">
        <v>1436</v>
      </c>
      <c r="D2267">
        <v>1250578</v>
      </c>
      <c r="E2267">
        <v>745</v>
      </c>
    </row>
    <row r="2268" spans="1:5" x14ac:dyDescent="0.25">
      <c r="A2268" t="s">
        <v>1435</v>
      </c>
      <c r="B2268" t="str">
        <f>VLOOKUP(Counties_by_State_Code[[#This Row],[State_Code]],Territory_by_Code[],2)</f>
        <v>Pennsylvania</v>
      </c>
      <c r="C2268" t="s">
        <v>1437</v>
      </c>
      <c r="D2268">
        <v>65558</v>
      </c>
      <c r="E2268">
        <v>664</v>
      </c>
    </row>
    <row r="2269" spans="1:5" x14ac:dyDescent="0.25">
      <c r="A2269" t="s">
        <v>1435</v>
      </c>
      <c r="B2269" t="str">
        <f>VLOOKUP(Counties_by_State_Code[[#This Row],[State_Code]],Territory_by_Code[],2)</f>
        <v>Pennsylvania</v>
      </c>
      <c r="C2269" t="s">
        <v>1379</v>
      </c>
      <c r="D2269">
        <v>168215</v>
      </c>
      <c r="E2269">
        <v>444</v>
      </c>
    </row>
    <row r="2270" spans="1:5" x14ac:dyDescent="0.25">
      <c r="A2270" t="s">
        <v>1435</v>
      </c>
      <c r="B2270" t="str">
        <f>VLOOKUP(Counties_by_State_Code[[#This Row],[State_Code]],Territory_by_Code[],2)</f>
        <v>Pennsylvania</v>
      </c>
      <c r="C2270" t="s">
        <v>1438</v>
      </c>
      <c r="D2270">
        <v>47577</v>
      </c>
      <c r="E2270">
        <v>1015</v>
      </c>
    </row>
    <row r="2271" spans="1:5" x14ac:dyDescent="0.25">
      <c r="A2271" t="s">
        <v>1435</v>
      </c>
      <c r="B2271" t="str">
        <f>VLOOKUP(Counties_by_State_Code[[#This Row],[State_Code]],Territory_by_Code[],2)</f>
        <v>Pennsylvania</v>
      </c>
      <c r="C2271" t="s">
        <v>1439</v>
      </c>
      <c r="D2271">
        <v>428849</v>
      </c>
      <c r="E2271">
        <v>866</v>
      </c>
    </row>
    <row r="2272" spans="1:5" x14ac:dyDescent="0.25">
      <c r="A2272" t="s">
        <v>1435</v>
      </c>
      <c r="B2272" t="str">
        <f>VLOOKUP(Counties_by_State_Code[[#This Row],[State_Code]],Territory_by_Code[],2)</f>
        <v>Pennsylvania</v>
      </c>
      <c r="C2272" t="s">
        <v>1440</v>
      </c>
      <c r="D2272">
        <v>122822</v>
      </c>
      <c r="E2272">
        <v>527</v>
      </c>
    </row>
    <row r="2273" spans="1:5" x14ac:dyDescent="0.25">
      <c r="A2273" t="s">
        <v>1435</v>
      </c>
      <c r="B2273" t="str">
        <f>VLOOKUP(Counties_by_State_Code[[#This Row],[State_Code]],Territory_by_Code[],2)</f>
        <v>Pennsylvania</v>
      </c>
      <c r="C2273" t="s">
        <v>320</v>
      </c>
      <c r="D2273">
        <v>59967</v>
      </c>
      <c r="E2273">
        <v>1161</v>
      </c>
    </row>
    <row r="2274" spans="1:5" x14ac:dyDescent="0.25">
      <c r="A2274" t="s">
        <v>1435</v>
      </c>
      <c r="B2274" t="str">
        <f>VLOOKUP(Counties_by_State_Code[[#This Row],[State_Code]],Territory_by_Code[],2)</f>
        <v>Pennsylvania</v>
      </c>
      <c r="C2274" t="s">
        <v>1441</v>
      </c>
      <c r="D2274">
        <v>646538</v>
      </c>
      <c r="E2274">
        <v>622</v>
      </c>
    </row>
    <row r="2275" spans="1:5" x14ac:dyDescent="0.25">
      <c r="A2275" t="s">
        <v>1435</v>
      </c>
      <c r="B2275" t="str">
        <f>VLOOKUP(Counties_by_State_Code[[#This Row],[State_Code]],Territory_by_Code[],2)</f>
        <v>Pennsylvania</v>
      </c>
      <c r="C2275" t="s">
        <v>7</v>
      </c>
      <c r="D2275">
        <v>193763</v>
      </c>
      <c r="E2275">
        <v>795</v>
      </c>
    </row>
    <row r="2276" spans="1:5" x14ac:dyDescent="0.25">
      <c r="A2276" t="s">
        <v>1435</v>
      </c>
      <c r="B2276" t="str">
        <f>VLOOKUP(Counties_by_State_Code[[#This Row],[State_Code]],Territory_by_Code[],2)</f>
        <v>Pennsylvania</v>
      </c>
      <c r="C2276" t="s">
        <v>1442</v>
      </c>
      <c r="D2276">
        <v>133472</v>
      </c>
      <c r="E2276">
        <v>693</v>
      </c>
    </row>
    <row r="2277" spans="1:5" x14ac:dyDescent="0.25">
      <c r="A2277" t="s">
        <v>1435</v>
      </c>
      <c r="B2277" t="str">
        <f>VLOOKUP(Counties_by_State_Code[[#This Row],[State_Code]],Territory_by_Code[],2)</f>
        <v>Pennsylvania</v>
      </c>
      <c r="C2277" t="s">
        <v>794</v>
      </c>
      <c r="D2277">
        <v>4547</v>
      </c>
      <c r="E2277">
        <v>399</v>
      </c>
    </row>
    <row r="2278" spans="1:5" x14ac:dyDescent="0.25">
      <c r="A2278" t="s">
        <v>1435</v>
      </c>
      <c r="B2278" t="str">
        <f>VLOOKUP(Counties_by_State_Code[[#This Row],[State_Code]],Territory_by_Code[],2)</f>
        <v>Pennsylvania</v>
      </c>
      <c r="C2278" t="s">
        <v>1076</v>
      </c>
      <c r="D2278">
        <v>64749</v>
      </c>
      <c r="E2278">
        <v>387</v>
      </c>
    </row>
    <row r="2279" spans="1:5" x14ac:dyDescent="0.25">
      <c r="A2279" t="s">
        <v>1435</v>
      </c>
      <c r="B2279" t="str">
        <f>VLOOKUP(Counties_by_State_Code[[#This Row],[State_Code]],Territory_by_Code[],2)</f>
        <v>Pennsylvania</v>
      </c>
      <c r="C2279" t="s">
        <v>1443</v>
      </c>
      <c r="D2279">
        <v>158172</v>
      </c>
      <c r="E2279">
        <v>1112</v>
      </c>
    </row>
    <row r="2280" spans="1:5" x14ac:dyDescent="0.25">
      <c r="A2280" t="s">
        <v>1435</v>
      </c>
      <c r="B2280" t="str">
        <f>VLOOKUP(Counties_by_State_Code[[#This Row],[State_Code]],Territory_by_Code[],2)</f>
        <v>Pennsylvania</v>
      </c>
      <c r="C2280" t="s">
        <v>1444</v>
      </c>
      <c r="D2280">
        <v>534413</v>
      </c>
      <c r="E2280">
        <v>760</v>
      </c>
    </row>
    <row r="2281" spans="1:5" x14ac:dyDescent="0.25">
      <c r="A2281" t="s">
        <v>1435</v>
      </c>
      <c r="B2281" t="str">
        <f>VLOOKUP(Counties_by_State_Code[[#This Row],[State_Code]],Territory_by_Code[],2)</f>
        <v>Pennsylvania</v>
      </c>
      <c r="C2281" t="s">
        <v>1445</v>
      </c>
      <c r="D2281">
        <v>37241</v>
      </c>
      <c r="E2281">
        <v>609</v>
      </c>
    </row>
    <row r="2282" spans="1:5" x14ac:dyDescent="0.25">
      <c r="A2282" t="s">
        <v>1435</v>
      </c>
      <c r="B2282" t="str">
        <f>VLOOKUP(Counties_by_State_Code[[#This Row],[State_Code]],Territory_by_Code[],2)</f>
        <v>Pennsylvania</v>
      </c>
      <c r="C2282" t="s">
        <v>1446</v>
      </c>
      <c r="D2282">
        <v>80562</v>
      </c>
      <c r="E2282">
        <v>1154</v>
      </c>
    </row>
    <row r="2283" spans="1:5" x14ac:dyDescent="0.25">
      <c r="A2283" t="s">
        <v>1435</v>
      </c>
      <c r="B2283" t="str">
        <f>VLOOKUP(Counties_by_State_Code[[#This Row],[State_Code]],Territory_by_Code[],2)</f>
        <v>Pennsylvania</v>
      </c>
      <c r="C2283" t="s">
        <v>525</v>
      </c>
      <c r="D2283">
        <v>37450</v>
      </c>
      <c r="E2283">
        <v>898</v>
      </c>
    </row>
    <row r="2284" spans="1:5" x14ac:dyDescent="0.25">
      <c r="A2284" t="s">
        <v>1435</v>
      </c>
      <c r="B2284" t="str">
        <f>VLOOKUP(Counties_by_State_Code[[#This Row],[State_Code]],Territory_by_Code[],2)</f>
        <v>Pennsylvania</v>
      </c>
      <c r="C2284" t="s">
        <v>132</v>
      </c>
      <c r="D2284">
        <v>64727</v>
      </c>
      <c r="E2284">
        <v>490</v>
      </c>
    </row>
    <row r="2285" spans="1:5" x14ac:dyDescent="0.25">
      <c r="A2285" t="s">
        <v>1435</v>
      </c>
      <c r="B2285" t="str">
        <f>VLOOKUP(Counties_by_State_Code[[#This Row],[State_Code]],Territory_by_Code[],2)</f>
        <v>Pennsylvania</v>
      </c>
      <c r="C2285" t="s">
        <v>135</v>
      </c>
      <c r="D2285">
        <v>83938</v>
      </c>
      <c r="E2285">
        <v>1038</v>
      </c>
    </row>
    <row r="2286" spans="1:5" x14ac:dyDescent="0.25">
      <c r="A2286" t="s">
        <v>1435</v>
      </c>
      <c r="B2286" t="str">
        <f>VLOOKUP(Counties_by_State_Code[[#This Row],[State_Code]],Territory_by_Code[],2)</f>
        <v>Pennsylvania</v>
      </c>
      <c r="C2286" t="s">
        <v>527</v>
      </c>
      <c r="D2286">
        <v>259469</v>
      </c>
      <c r="E2286">
        <v>551</v>
      </c>
    </row>
    <row r="2287" spans="1:5" x14ac:dyDescent="0.25">
      <c r="A2287" t="s">
        <v>1435</v>
      </c>
      <c r="B2287" t="str">
        <f>VLOOKUP(Counties_by_State_Code[[#This Row],[State_Code]],Territory_by_Code[],2)</f>
        <v>Pennsylvania</v>
      </c>
      <c r="C2287" t="s">
        <v>1447</v>
      </c>
      <c r="D2287">
        <v>286401</v>
      </c>
      <c r="E2287">
        <v>558</v>
      </c>
    </row>
    <row r="2288" spans="1:5" x14ac:dyDescent="0.25">
      <c r="A2288" t="s">
        <v>1435</v>
      </c>
      <c r="B2288" t="str">
        <f>VLOOKUP(Counties_by_State_Code[[#This Row],[State_Code]],Territory_by_Code[],2)</f>
        <v>Pennsylvania</v>
      </c>
      <c r="C2288" t="s">
        <v>578</v>
      </c>
      <c r="D2288">
        <v>576830</v>
      </c>
      <c r="E2288">
        <v>191</v>
      </c>
    </row>
    <row r="2289" spans="1:5" x14ac:dyDescent="0.25">
      <c r="A2289" t="s">
        <v>1435</v>
      </c>
      <c r="B2289" t="str">
        <f>VLOOKUP(Counties_by_State_Code[[#This Row],[State_Code]],Territory_by_Code[],2)</f>
        <v>Pennsylvania</v>
      </c>
      <c r="C2289" t="s">
        <v>673</v>
      </c>
      <c r="D2289">
        <v>30990</v>
      </c>
      <c r="E2289">
        <v>832</v>
      </c>
    </row>
    <row r="2290" spans="1:5" x14ac:dyDescent="0.25">
      <c r="A2290" t="s">
        <v>1435</v>
      </c>
      <c r="B2290" t="str">
        <f>VLOOKUP(Counties_by_State_Code[[#This Row],[State_Code]],Territory_by_Code[],2)</f>
        <v>Pennsylvania</v>
      </c>
      <c r="C2290" t="s">
        <v>1217</v>
      </c>
      <c r="D2290">
        <v>270876</v>
      </c>
      <c r="E2290">
        <v>799</v>
      </c>
    </row>
    <row r="2291" spans="1:5" x14ac:dyDescent="0.25">
      <c r="A2291" t="s">
        <v>1435</v>
      </c>
      <c r="B2291" t="str">
        <f>VLOOKUP(Counties_by_State_Code[[#This Row],[State_Code]],Territory_by_Code[],2)</f>
        <v>Pennsylvania</v>
      </c>
      <c r="C2291" t="s">
        <v>29</v>
      </c>
      <c r="D2291">
        <v>128804</v>
      </c>
      <c r="E2291">
        <v>798</v>
      </c>
    </row>
    <row r="2292" spans="1:5" x14ac:dyDescent="0.25">
      <c r="A2292" t="s">
        <v>1435</v>
      </c>
      <c r="B2292" t="str">
        <f>VLOOKUP(Counties_by_State_Code[[#This Row],[State_Code]],Territory_by_Code[],2)</f>
        <v>Pennsylvania</v>
      </c>
      <c r="C2292" t="s">
        <v>1448</v>
      </c>
      <c r="D2292">
        <v>6973</v>
      </c>
      <c r="E2292">
        <v>431</v>
      </c>
    </row>
    <row r="2293" spans="1:5" x14ac:dyDescent="0.25">
      <c r="A2293" t="s">
        <v>1435</v>
      </c>
      <c r="B2293" t="str">
        <f>VLOOKUP(Counties_by_State_Code[[#This Row],[State_Code]],Territory_by_Code[],2)</f>
        <v>Pennsylvania</v>
      </c>
      <c r="C2293" t="s">
        <v>30</v>
      </c>
      <c r="D2293">
        <v>155932</v>
      </c>
      <c r="E2293">
        <v>771</v>
      </c>
    </row>
    <row r="2294" spans="1:5" x14ac:dyDescent="0.25">
      <c r="A2294" t="s">
        <v>1435</v>
      </c>
      <c r="B2294" t="str">
        <f>VLOOKUP(Counties_by_State_Code[[#This Row],[State_Code]],Territory_by_Code[],2)</f>
        <v>Pennsylvania</v>
      </c>
      <c r="C2294" t="s">
        <v>141</v>
      </c>
      <c r="D2294">
        <v>14556</v>
      </c>
      <c r="E2294">
        <v>438</v>
      </c>
    </row>
    <row r="2295" spans="1:5" x14ac:dyDescent="0.25">
      <c r="A2295" t="s">
        <v>1435</v>
      </c>
      <c r="B2295" t="str">
        <f>VLOOKUP(Counties_by_State_Code[[#This Row],[State_Code]],Territory_by_Code[],2)</f>
        <v>Pennsylvania</v>
      </c>
      <c r="C2295" t="s">
        <v>32</v>
      </c>
      <c r="D2295">
        <v>35954</v>
      </c>
      <c r="E2295">
        <v>578</v>
      </c>
    </row>
    <row r="2296" spans="1:5" x14ac:dyDescent="0.25">
      <c r="A2296" t="s">
        <v>1435</v>
      </c>
      <c r="B2296" t="str">
        <f>VLOOKUP(Counties_by_State_Code[[#This Row],[State_Code]],Territory_by_Code[],2)</f>
        <v>Pennsylvania</v>
      </c>
      <c r="C2296" t="s">
        <v>1449</v>
      </c>
      <c r="D2296">
        <v>44092</v>
      </c>
      <c r="E2296">
        <v>889</v>
      </c>
    </row>
    <row r="2297" spans="1:5" x14ac:dyDescent="0.25">
      <c r="A2297" t="s">
        <v>1435</v>
      </c>
      <c r="B2297" t="str">
        <f>VLOOKUP(Counties_by_State_Code[[#This Row],[State_Code]],Territory_by_Code[],2)</f>
        <v>Pennsylvania</v>
      </c>
      <c r="C2297" t="s">
        <v>1450</v>
      </c>
      <c r="D2297">
        <v>83246</v>
      </c>
      <c r="E2297">
        <v>834</v>
      </c>
    </row>
    <row r="2298" spans="1:5" x14ac:dyDescent="0.25">
      <c r="A2298" t="s">
        <v>1435</v>
      </c>
      <c r="B2298" t="str">
        <f>VLOOKUP(Counties_by_State_Code[[#This Row],[State_Code]],Territory_by_Code[],2)</f>
        <v>Pennsylvania</v>
      </c>
      <c r="C2298" t="s">
        <v>37</v>
      </c>
      <c r="D2298">
        <v>44492</v>
      </c>
      <c r="E2298">
        <v>657</v>
      </c>
    </row>
    <row r="2299" spans="1:5" x14ac:dyDescent="0.25">
      <c r="A2299" t="s">
        <v>1435</v>
      </c>
      <c r="B2299" t="str">
        <f>VLOOKUP(Counties_by_State_Code[[#This Row],[State_Code]],Territory_by_Code[],2)</f>
        <v>Pennsylvania</v>
      </c>
      <c r="C2299" t="s">
        <v>1451</v>
      </c>
      <c r="D2299">
        <v>23509</v>
      </c>
      <c r="E2299">
        <v>394</v>
      </c>
    </row>
    <row r="2300" spans="1:5" x14ac:dyDescent="0.25">
      <c r="A2300" t="s">
        <v>1435</v>
      </c>
      <c r="B2300" t="str">
        <f>VLOOKUP(Counties_by_State_Code[[#This Row],[State_Code]],Territory_by_Code[],2)</f>
        <v>Pennsylvania</v>
      </c>
      <c r="C2300" t="s">
        <v>1452</v>
      </c>
      <c r="D2300">
        <v>215896</v>
      </c>
      <c r="E2300">
        <v>465</v>
      </c>
    </row>
    <row r="2301" spans="1:5" x14ac:dyDescent="0.25">
      <c r="A2301" t="s">
        <v>1435</v>
      </c>
      <c r="B2301" t="str">
        <f>VLOOKUP(Counties_by_State_Code[[#This Row],[State_Code]],Territory_by_Code[],2)</f>
        <v>Pennsylvania</v>
      </c>
      <c r="C2301" t="s">
        <v>1135</v>
      </c>
      <c r="D2301">
        <v>552984</v>
      </c>
      <c r="E2301">
        <v>984</v>
      </c>
    </row>
    <row r="2302" spans="1:5" x14ac:dyDescent="0.25">
      <c r="A2302" t="s">
        <v>1435</v>
      </c>
      <c r="B2302" t="str">
        <f>VLOOKUP(Counties_by_State_Code[[#This Row],[State_Code]],Territory_by_Code[],2)</f>
        <v>Pennsylvania</v>
      </c>
      <c r="C2302" t="s">
        <v>40</v>
      </c>
      <c r="D2302">
        <v>86070</v>
      </c>
      <c r="E2302">
        <v>363</v>
      </c>
    </row>
    <row r="2303" spans="1:5" x14ac:dyDescent="0.25">
      <c r="A2303" t="s">
        <v>1435</v>
      </c>
      <c r="B2303" t="str">
        <f>VLOOKUP(Counties_by_State_Code[[#This Row],[State_Code]],Territory_by_Code[],2)</f>
        <v>Pennsylvania</v>
      </c>
      <c r="C2303" t="s">
        <v>1453</v>
      </c>
      <c r="D2303">
        <v>143257</v>
      </c>
      <c r="E2303">
        <v>363</v>
      </c>
    </row>
    <row r="2304" spans="1:5" x14ac:dyDescent="0.25">
      <c r="A2304" t="s">
        <v>1435</v>
      </c>
      <c r="B2304" t="str">
        <f>VLOOKUP(Counties_by_State_Code[[#This Row],[State_Code]],Territory_by_Code[],2)</f>
        <v>Pennsylvania</v>
      </c>
      <c r="C2304" t="s">
        <v>1454</v>
      </c>
      <c r="D2304">
        <v>374557</v>
      </c>
      <c r="E2304">
        <v>349</v>
      </c>
    </row>
    <row r="2305" spans="1:5" x14ac:dyDescent="0.25">
      <c r="A2305" t="s">
        <v>1435</v>
      </c>
      <c r="B2305" t="str">
        <f>VLOOKUP(Counties_by_State_Code[[#This Row],[State_Code]],Territory_by_Code[],2)</f>
        <v>Pennsylvania</v>
      </c>
      <c r="C2305" t="s">
        <v>1455</v>
      </c>
      <c r="D2305">
        <v>325594</v>
      </c>
      <c r="E2305">
        <v>907</v>
      </c>
    </row>
    <row r="2306" spans="1:5" x14ac:dyDescent="0.25">
      <c r="A2306" t="s">
        <v>1435</v>
      </c>
      <c r="B2306" t="str">
        <f>VLOOKUP(Counties_by_State_Code[[#This Row],[State_Code]],Territory_by_Code[],2)</f>
        <v>Pennsylvania</v>
      </c>
      <c r="C2306" t="s">
        <v>1456</v>
      </c>
      <c r="D2306">
        <v>114188</v>
      </c>
      <c r="E2306">
        <v>1244</v>
      </c>
    </row>
    <row r="2307" spans="1:5" x14ac:dyDescent="0.25">
      <c r="A2307" t="s">
        <v>1435</v>
      </c>
      <c r="B2307" t="str">
        <f>VLOOKUP(Counties_by_State_Code[[#This Row],[State_Code]],Territory_by_Code[],2)</f>
        <v>Pennsylvania</v>
      </c>
      <c r="C2307" t="s">
        <v>1457</v>
      </c>
      <c r="D2307">
        <v>40432</v>
      </c>
      <c r="E2307">
        <v>984</v>
      </c>
    </row>
    <row r="2308" spans="1:5" x14ac:dyDescent="0.25">
      <c r="A2308" t="s">
        <v>1435</v>
      </c>
      <c r="B2308" t="str">
        <f>VLOOKUP(Counties_by_State_Code[[#This Row],[State_Code]],Territory_by_Code[],2)</f>
        <v>Pennsylvania</v>
      </c>
      <c r="C2308" t="s">
        <v>553</v>
      </c>
      <c r="D2308">
        <v>110652</v>
      </c>
      <c r="E2308">
        <v>683</v>
      </c>
    </row>
    <row r="2309" spans="1:5" x14ac:dyDescent="0.25">
      <c r="A2309" t="s">
        <v>1435</v>
      </c>
      <c r="B2309" t="str">
        <f>VLOOKUP(Counties_by_State_Code[[#This Row],[State_Code]],Territory_by_Code[],2)</f>
        <v>Pennsylvania</v>
      </c>
      <c r="C2309" t="s">
        <v>1458</v>
      </c>
      <c r="D2309">
        <v>46143</v>
      </c>
      <c r="E2309">
        <v>415</v>
      </c>
    </row>
    <row r="2310" spans="1:5" x14ac:dyDescent="0.25">
      <c r="A2310" t="s">
        <v>1435</v>
      </c>
      <c r="B2310" t="str">
        <f>VLOOKUP(Counties_by_State_Code[[#This Row],[State_Code]],Territory_by_Code[],2)</f>
        <v>Pennsylvania</v>
      </c>
      <c r="C2310" t="s">
        <v>50</v>
      </c>
      <c r="D2310">
        <v>168327</v>
      </c>
      <c r="E2310">
        <v>617</v>
      </c>
    </row>
    <row r="2311" spans="1:5" x14ac:dyDescent="0.25">
      <c r="A2311" t="s">
        <v>1435</v>
      </c>
      <c r="B2311" t="str">
        <f>VLOOKUP(Counties_by_State_Code[[#This Row],[State_Code]],Territory_by_Code[],2)</f>
        <v>Pennsylvania</v>
      </c>
      <c r="C2311" t="s">
        <v>51</v>
      </c>
      <c r="D2311">
        <v>856553</v>
      </c>
      <c r="E2311">
        <v>487</v>
      </c>
    </row>
    <row r="2312" spans="1:5" x14ac:dyDescent="0.25">
      <c r="A2312" t="s">
        <v>1435</v>
      </c>
      <c r="B2312" t="str">
        <f>VLOOKUP(Counties_by_State_Code[[#This Row],[State_Code]],Territory_by_Code[],2)</f>
        <v>Pennsylvania</v>
      </c>
      <c r="C2312" t="s">
        <v>1459</v>
      </c>
      <c r="D2312">
        <v>18136</v>
      </c>
      <c r="E2312">
        <v>132</v>
      </c>
    </row>
    <row r="2313" spans="1:5" x14ac:dyDescent="0.25">
      <c r="A2313" t="s">
        <v>1435</v>
      </c>
      <c r="B2313" t="str">
        <f>VLOOKUP(Counties_by_State_Code[[#This Row],[State_Code]],Territory_by_Code[],2)</f>
        <v>Pennsylvania</v>
      </c>
      <c r="C2313" t="s">
        <v>1281</v>
      </c>
      <c r="D2313">
        <v>312951</v>
      </c>
      <c r="E2313">
        <v>377</v>
      </c>
    </row>
    <row r="2314" spans="1:5" x14ac:dyDescent="0.25">
      <c r="A2314" t="s">
        <v>1435</v>
      </c>
      <c r="B2314" t="str">
        <f>VLOOKUP(Counties_by_State_Code[[#This Row],[State_Code]],Territory_by_Code[],2)</f>
        <v>Pennsylvania</v>
      </c>
      <c r="C2314" t="s">
        <v>1460</v>
      </c>
      <c r="D2314">
        <v>91647</v>
      </c>
      <c r="E2314">
        <v>477</v>
      </c>
    </row>
    <row r="2315" spans="1:5" x14ac:dyDescent="0.25">
      <c r="A2315" t="s">
        <v>1435</v>
      </c>
      <c r="B2315" t="str">
        <f>VLOOKUP(Counties_by_State_Code[[#This Row],[State_Code]],Territory_by_Code[],2)</f>
        <v>Pennsylvania</v>
      </c>
      <c r="C2315" t="s">
        <v>53</v>
      </c>
      <c r="D2315">
        <v>45842</v>
      </c>
      <c r="E2315">
        <v>556</v>
      </c>
    </row>
    <row r="2316" spans="1:5" x14ac:dyDescent="0.25">
      <c r="A2316" t="s">
        <v>1435</v>
      </c>
      <c r="B2316" t="str">
        <f>VLOOKUP(Counties_by_State_Code[[#This Row],[State_Code]],Territory_by_Code[],2)</f>
        <v>Pennsylvania</v>
      </c>
      <c r="C2316" t="s">
        <v>1461</v>
      </c>
      <c r="D2316">
        <v>1603797</v>
      </c>
      <c r="E2316">
        <v>143</v>
      </c>
    </row>
    <row r="2317" spans="1:5" x14ac:dyDescent="0.25">
      <c r="A2317" t="s">
        <v>1435</v>
      </c>
      <c r="B2317" t="str">
        <f>VLOOKUP(Counties_by_State_Code[[#This Row],[State_Code]],Territory_by_Code[],2)</f>
        <v>Pennsylvania</v>
      </c>
      <c r="C2317" t="s">
        <v>55</v>
      </c>
      <c r="D2317">
        <v>58535</v>
      </c>
      <c r="E2317">
        <v>567</v>
      </c>
    </row>
    <row r="2318" spans="1:5" x14ac:dyDescent="0.25">
      <c r="A2318" t="s">
        <v>1435</v>
      </c>
      <c r="B2318" t="str">
        <f>VLOOKUP(Counties_by_State_Code[[#This Row],[State_Code]],Territory_by_Code[],2)</f>
        <v>Pennsylvania</v>
      </c>
      <c r="C2318" t="s">
        <v>1462</v>
      </c>
      <c r="D2318">
        <v>16396</v>
      </c>
      <c r="E2318">
        <v>1081</v>
      </c>
    </row>
    <row r="2319" spans="1:5" x14ac:dyDescent="0.25">
      <c r="A2319" t="s">
        <v>1435</v>
      </c>
      <c r="B2319" t="str">
        <f>VLOOKUP(Counties_by_State_Code[[#This Row],[State_Code]],Territory_by_Code[],2)</f>
        <v>Pennsylvania</v>
      </c>
      <c r="C2319" t="s">
        <v>1463</v>
      </c>
      <c r="D2319">
        <v>143049</v>
      </c>
      <c r="E2319">
        <v>778</v>
      </c>
    </row>
    <row r="2320" spans="1:5" x14ac:dyDescent="0.25">
      <c r="A2320" t="s">
        <v>1435</v>
      </c>
      <c r="B2320" t="str">
        <f>VLOOKUP(Counties_by_State_Code[[#This Row],[State_Code]],Territory_by_Code[],2)</f>
        <v>Pennsylvania</v>
      </c>
      <c r="C2320" t="s">
        <v>1464</v>
      </c>
      <c r="D2320">
        <v>39736</v>
      </c>
      <c r="E2320">
        <v>332</v>
      </c>
    </row>
    <row r="2321" spans="1:5" x14ac:dyDescent="0.25">
      <c r="A2321" t="s">
        <v>1435</v>
      </c>
      <c r="B2321" t="str">
        <f>VLOOKUP(Counties_by_State_Code[[#This Row],[State_Code]],Territory_by_Code[],2)</f>
        <v>Pennsylvania</v>
      </c>
      <c r="C2321" t="s">
        <v>840</v>
      </c>
      <c r="D2321">
        <v>74129</v>
      </c>
      <c r="E2321">
        <v>1081</v>
      </c>
    </row>
    <row r="2322" spans="1:5" x14ac:dyDescent="0.25">
      <c r="A2322" t="s">
        <v>1435</v>
      </c>
      <c r="B2322" t="str">
        <f>VLOOKUP(Counties_by_State_Code[[#This Row],[State_Code]],Territory_by_Code[],2)</f>
        <v>Pennsylvania</v>
      </c>
      <c r="C2322" t="s">
        <v>604</v>
      </c>
      <c r="D2322">
        <v>5840</v>
      </c>
      <c r="E2322">
        <v>452</v>
      </c>
    </row>
    <row r="2323" spans="1:5" x14ac:dyDescent="0.25">
      <c r="A2323" t="s">
        <v>1435</v>
      </c>
      <c r="B2323" t="str">
        <f>VLOOKUP(Counties_by_State_Code[[#This Row],[State_Code]],Territory_by_Code[],2)</f>
        <v>Pennsylvania</v>
      </c>
      <c r="C2323" t="s">
        <v>1465</v>
      </c>
      <c r="D2323">
        <v>38434</v>
      </c>
      <c r="E2323">
        <v>832</v>
      </c>
    </row>
    <row r="2324" spans="1:5" x14ac:dyDescent="0.25">
      <c r="A2324" t="s">
        <v>1435</v>
      </c>
      <c r="B2324" t="str">
        <f>VLOOKUP(Counties_by_State_Code[[#This Row],[State_Code]],Territory_by_Code[],2)</f>
        <v>Pennsylvania</v>
      </c>
      <c r="C2324" t="s">
        <v>1232</v>
      </c>
      <c r="D2324">
        <v>41045</v>
      </c>
      <c r="E2324">
        <v>1137</v>
      </c>
    </row>
    <row r="2325" spans="1:5" x14ac:dyDescent="0.25">
      <c r="A2325" t="s">
        <v>1435</v>
      </c>
      <c r="B2325" t="str">
        <f>VLOOKUP(Counties_by_State_Code[[#This Row],[State_Code]],Territory_by_Code[],2)</f>
        <v>Pennsylvania</v>
      </c>
      <c r="C2325" t="s">
        <v>174</v>
      </c>
      <c r="D2325">
        <v>42681</v>
      </c>
      <c r="E2325">
        <v>317</v>
      </c>
    </row>
    <row r="2326" spans="1:5" x14ac:dyDescent="0.25">
      <c r="A2326" t="s">
        <v>1435</v>
      </c>
      <c r="B2326" t="str">
        <f>VLOOKUP(Counties_by_State_Code[[#This Row],[State_Code]],Territory_by_Code[],2)</f>
        <v>Pennsylvania</v>
      </c>
      <c r="C2326" t="s">
        <v>1466</v>
      </c>
      <c r="D2326">
        <v>50454</v>
      </c>
      <c r="E2326">
        <v>683</v>
      </c>
    </row>
    <row r="2327" spans="1:5" x14ac:dyDescent="0.25">
      <c r="A2327" t="s">
        <v>1435</v>
      </c>
      <c r="B2327" t="str">
        <f>VLOOKUP(Counties_by_State_Code[[#This Row],[State_Code]],Territory_by_Code[],2)</f>
        <v>Pennsylvania</v>
      </c>
      <c r="C2327" t="s">
        <v>467</v>
      </c>
      <c r="D2327">
        <v>38587</v>
      </c>
      <c r="E2327">
        <v>898</v>
      </c>
    </row>
    <row r="2328" spans="1:5" x14ac:dyDescent="0.25">
      <c r="A2328" t="s">
        <v>1435</v>
      </c>
      <c r="B2328" t="str">
        <f>VLOOKUP(Counties_by_State_Code[[#This Row],[State_Code]],Territory_by_Code[],2)</f>
        <v>Pennsylvania</v>
      </c>
      <c r="C2328" t="s">
        <v>65</v>
      </c>
      <c r="D2328">
        <v>209349</v>
      </c>
      <c r="E2328">
        <v>861</v>
      </c>
    </row>
    <row r="2329" spans="1:5" x14ac:dyDescent="0.25">
      <c r="A2329" t="s">
        <v>1435</v>
      </c>
      <c r="B2329" t="str">
        <f>VLOOKUP(Counties_by_State_Code[[#This Row],[State_Code]],Territory_by_Code[],2)</f>
        <v>Pennsylvania</v>
      </c>
      <c r="C2329" t="s">
        <v>468</v>
      </c>
      <c r="D2329">
        <v>51155</v>
      </c>
      <c r="E2329">
        <v>751</v>
      </c>
    </row>
    <row r="2330" spans="1:5" x14ac:dyDescent="0.25">
      <c r="A2330" t="s">
        <v>1435</v>
      </c>
      <c r="B2330" t="str">
        <f>VLOOKUP(Counties_by_State_Code[[#This Row],[State_Code]],Territory_by_Code[],2)</f>
        <v>Pennsylvania</v>
      </c>
      <c r="C2330" t="s">
        <v>1467</v>
      </c>
      <c r="D2330">
        <v>354663</v>
      </c>
      <c r="E2330">
        <v>1036</v>
      </c>
    </row>
    <row r="2331" spans="1:5" x14ac:dyDescent="0.25">
      <c r="A2331" t="s">
        <v>1435</v>
      </c>
      <c r="B2331" t="str">
        <f>VLOOKUP(Counties_by_State_Code[[#This Row],[State_Code]],Territory_by_Code[],2)</f>
        <v>Pennsylvania</v>
      </c>
      <c r="C2331" t="s">
        <v>1236</v>
      </c>
      <c r="D2331">
        <v>26069</v>
      </c>
      <c r="E2331">
        <v>406</v>
      </c>
    </row>
    <row r="2332" spans="1:5" x14ac:dyDescent="0.25">
      <c r="A2332" t="s">
        <v>1435</v>
      </c>
      <c r="B2332" t="str">
        <f>VLOOKUP(Counties_by_State_Code[[#This Row],[State_Code]],Territory_by_Code[],2)</f>
        <v>Pennsylvania</v>
      </c>
      <c r="C2332" t="s">
        <v>842</v>
      </c>
      <c r="D2332">
        <v>456438</v>
      </c>
      <c r="E2332">
        <v>910</v>
      </c>
    </row>
    <row r="2333" spans="1:5" x14ac:dyDescent="0.25">
      <c r="A2333" t="s">
        <v>1469</v>
      </c>
      <c r="B2333" t="str">
        <f>VLOOKUP(Counties_by_State_Code[[#This Row],[State_Code]],Territory_by_Code[],2)</f>
        <v>Puerto Rico</v>
      </c>
      <c r="C2333" t="s">
        <v>1468</v>
      </c>
      <c r="D2333">
        <v>18020</v>
      </c>
      <c r="E2333">
        <v>66.69</v>
      </c>
    </row>
    <row r="2334" spans="1:5" x14ac:dyDescent="0.25">
      <c r="A2334" t="s">
        <v>1469</v>
      </c>
      <c r="B2334" t="str">
        <f>VLOOKUP(Counties_by_State_Code[[#This Row],[State_Code]],Territory_by_Code[],2)</f>
        <v>Puerto Rico</v>
      </c>
      <c r="C2334" t="s">
        <v>1470</v>
      </c>
      <c r="D2334">
        <v>38136</v>
      </c>
      <c r="E2334">
        <v>30.85</v>
      </c>
    </row>
    <row r="2335" spans="1:5" x14ac:dyDescent="0.25">
      <c r="A2335" t="s">
        <v>1469</v>
      </c>
      <c r="B2335" t="str">
        <f>VLOOKUP(Counties_by_State_Code[[#This Row],[State_Code]],Territory_by_Code[],2)</f>
        <v>Puerto Rico</v>
      </c>
      <c r="C2335" t="s">
        <v>1471</v>
      </c>
      <c r="D2335">
        <v>55101</v>
      </c>
      <c r="E2335">
        <v>36.53</v>
      </c>
    </row>
    <row r="2336" spans="1:5" x14ac:dyDescent="0.25">
      <c r="A2336" t="s">
        <v>1469</v>
      </c>
      <c r="B2336" t="str">
        <f>VLOOKUP(Counties_by_State_Code[[#This Row],[State_Code]],Territory_by_Code[],2)</f>
        <v>Puerto Rico</v>
      </c>
      <c r="C2336" t="s">
        <v>1472</v>
      </c>
      <c r="D2336">
        <v>24223</v>
      </c>
      <c r="E2336">
        <v>30.08</v>
      </c>
    </row>
    <row r="2337" spans="1:5" x14ac:dyDescent="0.25">
      <c r="A2337" t="s">
        <v>1469</v>
      </c>
      <c r="B2337" t="str">
        <f>VLOOKUP(Counties_by_State_Code[[#This Row],[State_Code]],Territory_by_Code[],2)</f>
        <v>Puerto Rico</v>
      </c>
      <c r="C2337" t="s">
        <v>1473</v>
      </c>
      <c r="D2337">
        <v>24637</v>
      </c>
      <c r="E2337">
        <v>31.31</v>
      </c>
    </row>
    <row r="2338" spans="1:5" x14ac:dyDescent="0.25">
      <c r="A2338" t="s">
        <v>1469</v>
      </c>
      <c r="B2338" t="str">
        <f>VLOOKUP(Counties_by_State_Code[[#This Row],[State_Code]],Territory_by_Code[],2)</f>
        <v>Puerto Rico</v>
      </c>
      <c r="C2338" t="s">
        <v>1474</v>
      </c>
      <c r="D2338">
        <v>25596</v>
      </c>
      <c r="E2338">
        <v>39.29</v>
      </c>
    </row>
    <row r="2339" spans="1:5" x14ac:dyDescent="0.25">
      <c r="A2339" t="s">
        <v>1469</v>
      </c>
      <c r="B2339" t="str">
        <f>VLOOKUP(Counties_by_State_Code[[#This Row],[State_Code]],Territory_by_Code[],2)</f>
        <v>Puerto Rico</v>
      </c>
      <c r="C2339" t="s">
        <v>1475</v>
      </c>
      <c r="D2339">
        <v>87754</v>
      </c>
      <c r="E2339">
        <v>125.95</v>
      </c>
    </row>
    <row r="2340" spans="1:5" x14ac:dyDescent="0.25">
      <c r="A2340" t="s">
        <v>1469</v>
      </c>
      <c r="B2340" t="str">
        <f>VLOOKUP(Counties_by_State_Code[[#This Row],[State_Code]],Territory_by_Code[],2)</f>
        <v>Puerto Rico</v>
      </c>
      <c r="C2340" t="s">
        <v>1476</v>
      </c>
      <c r="D2340">
        <v>15843</v>
      </c>
      <c r="E2340">
        <v>15.01</v>
      </c>
    </row>
    <row r="2341" spans="1:5" x14ac:dyDescent="0.25">
      <c r="A2341" t="s">
        <v>1469</v>
      </c>
      <c r="B2341" t="str">
        <f>VLOOKUP(Counties_by_State_Code[[#This Row],[State_Code]],Territory_by_Code[],2)</f>
        <v>Puerto Rico</v>
      </c>
      <c r="C2341" t="s">
        <v>1477</v>
      </c>
      <c r="D2341">
        <v>22657</v>
      </c>
      <c r="E2341">
        <v>18.690000000000001</v>
      </c>
    </row>
    <row r="2342" spans="1:5" x14ac:dyDescent="0.25">
      <c r="A2342" t="s">
        <v>1469</v>
      </c>
      <c r="B2342" t="str">
        <f>VLOOKUP(Counties_by_State_Code[[#This Row],[State_Code]],Territory_by_Code[],2)</f>
        <v>Puerto Rico</v>
      </c>
      <c r="C2342" t="s">
        <v>1478</v>
      </c>
      <c r="D2342">
        <v>28983</v>
      </c>
      <c r="E2342">
        <v>34.25</v>
      </c>
    </row>
    <row r="2343" spans="1:5" x14ac:dyDescent="0.25">
      <c r="A2343" t="s">
        <v>1469</v>
      </c>
      <c r="B2343" t="str">
        <f>VLOOKUP(Counties_by_State_Code[[#This Row],[State_Code]],Territory_by_Code[],2)</f>
        <v>Puerto Rico</v>
      </c>
      <c r="C2343" t="s">
        <v>1479</v>
      </c>
      <c r="D2343">
        <v>185187</v>
      </c>
      <c r="E2343">
        <v>44.32</v>
      </c>
    </row>
    <row r="2344" spans="1:5" x14ac:dyDescent="0.25">
      <c r="A2344" t="s">
        <v>1469</v>
      </c>
      <c r="B2344" t="str">
        <f>VLOOKUP(Counties_by_State_Code[[#This Row],[State_Code]],Territory_by_Code[],2)</f>
        <v>Puerto Rico</v>
      </c>
      <c r="C2344" t="s">
        <v>1480</v>
      </c>
      <c r="D2344">
        <v>47158</v>
      </c>
      <c r="E2344">
        <v>70.37</v>
      </c>
    </row>
    <row r="2345" spans="1:5" x14ac:dyDescent="0.25">
      <c r="A2345" t="s">
        <v>1469</v>
      </c>
      <c r="B2345" t="str">
        <f>VLOOKUP(Counties_by_State_Code[[#This Row],[State_Code]],Territory_by_Code[],2)</f>
        <v>Puerto Rico</v>
      </c>
      <c r="C2345" t="s">
        <v>1481</v>
      </c>
      <c r="D2345">
        <v>127244</v>
      </c>
      <c r="E2345">
        <v>58.6</v>
      </c>
    </row>
    <row r="2346" spans="1:5" x14ac:dyDescent="0.25">
      <c r="A2346" t="s">
        <v>1469</v>
      </c>
      <c r="B2346" t="str">
        <f>VLOOKUP(Counties_by_State_Code[[#This Row],[State_Code]],Territory_by_Code[],2)</f>
        <v>Puerto Rico</v>
      </c>
      <c r="C2346" t="s">
        <v>1482</v>
      </c>
      <c r="D2346">
        <v>32827</v>
      </c>
      <c r="E2346">
        <v>46.35</v>
      </c>
    </row>
    <row r="2347" spans="1:5" x14ac:dyDescent="0.25">
      <c r="A2347" t="s">
        <v>1469</v>
      </c>
      <c r="B2347" t="str">
        <f>VLOOKUP(Counties_by_State_Code[[#This Row],[State_Code]],Territory_by_Code[],2)</f>
        <v>Puerto Rico</v>
      </c>
      <c r="C2347" t="s">
        <v>1483</v>
      </c>
      <c r="D2347">
        <v>42337</v>
      </c>
      <c r="E2347">
        <v>32.869999999999997</v>
      </c>
    </row>
    <row r="2348" spans="1:5" x14ac:dyDescent="0.25">
      <c r="A2348" t="s">
        <v>1469</v>
      </c>
      <c r="B2348" t="str">
        <f>VLOOKUP(Counties_by_State_Code[[#This Row],[State_Code]],Territory_by_Code[],2)</f>
        <v>Puerto Rico</v>
      </c>
      <c r="C2348" t="s">
        <v>1484</v>
      </c>
      <c r="D2348">
        <v>154815</v>
      </c>
      <c r="E2348">
        <v>45.32</v>
      </c>
    </row>
    <row r="2349" spans="1:5" x14ac:dyDescent="0.25">
      <c r="A2349" t="s">
        <v>1469</v>
      </c>
      <c r="B2349" t="str">
        <f>VLOOKUP(Counties_by_State_Code[[#This Row],[State_Code]],Territory_by_Code[],2)</f>
        <v>Puerto Rico</v>
      </c>
      <c r="C2349" t="s">
        <v>1485</v>
      </c>
      <c r="D2349">
        <v>23155</v>
      </c>
      <c r="E2349">
        <v>4.84</v>
      </c>
    </row>
    <row r="2350" spans="1:5" x14ac:dyDescent="0.25">
      <c r="A2350" t="s">
        <v>1469</v>
      </c>
      <c r="B2350" t="str">
        <f>VLOOKUP(Counties_by_State_Code[[#This Row],[State_Code]],Territory_by_Code[],2)</f>
        <v>Puerto Rico</v>
      </c>
      <c r="C2350" t="s">
        <v>1486</v>
      </c>
      <c r="D2350">
        <v>41652</v>
      </c>
      <c r="E2350">
        <v>51.93</v>
      </c>
    </row>
    <row r="2351" spans="1:5" x14ac:dyDescent="0.25">
      <c r="A2351" t="s">
        <v>1469</v>
      </c>
      <c r="B2351" t="str">
        <f>VLOOKUP(Counties_by_State_Code[[#This Row],[State_Code]],Territory_by_Code[],2)</f>
        <v>Puerto Rico</v>
      </c>
      <c r="C2351" t="s">
        <v>1487</v>
      </c>
      <c r="D2351">
        <v>11307</v>
      </c>
      <c r="E2351">
        <v>29.04</v>
      </c>
    </row>
    <row r="2352" spans="1:5" x14ac:dyDescent="0.25">
      <c r="A2352" t="s">
        <v>1469</v>
      </c>
      <c r="B2352" t="str">
        <f>VLOOKUP(Counties_by_State_Code[[#This Row],[State_Code]],Territory_by_Code[],2)</f>
        <v>Puerto Rico</v>
      </c>
      <c r="C2352" t="s">
        <v>1488</v>
      </c>
      <c r="D2352">
        <v>16984</v>
      </c>
      <c r="E2352">
        <v>66.53</v>
      </c>
    </row>
    <row r="2353" spans="1:5" x14ac:dyDescent="0.25">
      <c r="A2353" t="s">
        <v>1469</v>
      </c>
      <c r="B2353" t="str">
        <f>VLOOKUP(Counties_by_State_Code[[#This Row],[State_Code]],Territory_by_Code[],2)</f>
        <v>Puerto Rico</v>
      </c>
      <c r="C2353" t="s">
        <v>1489</v>
      </c>
      <c r="D2353">
        <v>39970</v>
      </c>
      <c r="E2353">
        <v>36.020000000000003</v>
      </c>
    </row>
    <row r="2354" spans="1:5" x14ac:dyDescent="0.25">
      <c r="A2354" t="s">
        <v>1469</v>
      </c>
      <c r="B2354" t="str">
        <f>VLOOKUP(Counties_by_State_Code[[#This Row],[State_Code]],Territory_by_Code[],2)</f>
        <v>Puerto Rico</v>
      </c>
      <c r="C2354" t="s">
        <v>1490</v>
      </c>
      <c r="D2354">
        <v>34668</v>
      </c>
      <c r="E2354">
        <v>78.099999999999994</v>
      </c>
    </row>
    <row r="2355" spans="1:5" x14ac:dyDescent="0.25">
      <c r="A2355" t="s">
        <v>1469</v>
      </c>
      <c r="B2355" t="str">
        <f>VLOOKUP(Counties_by_State_Code[[#This Row],[State_Code]],Territory_by_Code[],2)</f>
        <v>Puerto Rico</v>
      </c>
      <c r="C2355" t="s">
        <v>1491</v>
      </c>
      <c r="D2355">
        <v>18883</v>
      </c>
      <c r="E2355">
        <v>28.4</v>
      </c>
    </row>
    <row r="2356" spans="1:5" x14ac:dyDescent="0.25">
      <c r="A2356" t="s">
        <v>1469</v>
      </c>
      <c r="B2356" t="str">
        <f>VLOOKUP(Counties_by_State_Code[[#This Row],[State_Code]],Territory_by_Code[],2)</f>
        <v>Puerto Rico</v>
      </c>
      <c r="C2356" t="s">
        <v>1492</v>
      </c>
      <c r="D2356">
        <v>34571</v>
      </c>
      <c r="E2356">
        <v>42.57</v>
      </c>
    </row>
    <row r="2357" spans="1:5" x14ac:dyDescent="0.25">
      <c r="A2357" t="s">
        <v>1469</v>
      </c>
      <c r="B2357" t="str">
        <f>VLOOKUP(Counties_by_State_Code[[#This Row],[State_Code]],Territory_by_Code[],2)</f>
        <v>Puerto Rico</v>
      </c>
      <c r="C2357" t="s">
        <v>1493</v>
      </c>
      <c r="D2357">
        <v>1792</v>
      </c>
      <c r="E2357">
        <v>11.62</v>
      </c>
    </row>
    <row r="2358" spans="1:5" x14ac:dyDescent="0.25">
      <c r="A2358" t="s">
        <v>1469</v>
      </c>
      <c r="B2358" t="str">
        <f>VLOOKUP(Counties_by_State_Code[[#This Row],[State_Code]],Territory_by_Code[],2)</f>
        <v>Puerto Rico</v>
      </c>
      <c r="C2358" t="s">
        <v>1494</v>
      </c>
      <c r="D2358">
        <v>35879</v>
      </c>
      <c r="E2358">
        <v>23.09</v>
      </c>
    </row>
    <row r="2359" spans="1:5" x14ac:dyDescent="0.25">
      <c r="A2359" t="s">
        <v>1469</v>
      </c>
      <c r="B2359" t="str">
        <f>VLOOKUP(Counties_by_State_Code[[#This Row],[State_Code]],Territory_by_Code[],2)</f>
        <v>Puerto Rico</v>
      </c>
      <c r="C2359" t="s">
        <v>1495</v>
      </c>
      <c r="D2359">
        <v>32124</v>
      </c>
      <c r="E2359">
        <v>29.86</v>
      </c>
    </row>
    <row r="2360" spans="1:5" x14ac:dyDescent="0.25">
      <c r="A2360" t="s">
        <v>1469</v>
      </c>
      <c r="B2360" t="str">
        <f>VLOOKUP(Counties_by_State_Code[[#This Row],[State_Code]],Territory_by_Code[],2)</f>
        <v>Puerto Rico</v>
      </c>
      <c r="C2360" t="s">
        <v>1496</v>
      </c>
      <c r="D2360">
        <v>11692</v>
      </c>
      <c r="E2360">
        <v>15.21</v>
      </c>
    </row>
    <row r="2361" spans="1:5" x14ac:dyDescent="0.25">
      <c r="A2361" t="s">
        <v>1469</v>
      </c>
      <c r="B2361" t="str">
        <f>VLOOKUP(Counties_by_State_Code[[#This Row],[State_Code]],Territory_by_Code[],2)</f>
        <v>Puerto Rico</v>
      </c>
      <c r="C2361" t="s">
        <v>1497</v>
      </c>
      <c r="D2361">
        <v>13787</v>
      </c>
      <c r="E2361">
        <v>37.049999999999997</v>
      </c>
    </row>
    <row r="2362" spans="1:5" x14ac:dyDescent="0.25">
      <c r="A2362" t="s">
        <v>1469</v>
      </c>
      <c r="B2362" t="str">
        <f>VLOOKUP(Counties_by_State_Code[[#This Row],[State_Code]],Territory_by_Code[],2)</f>
        <v>Puerto Rico</v>
      </c>
      <c r="C2362" t="s">
        <v>1498</v>
      </c>
      <c r="D2362">
        <v>36614</v>
      </c>
      <c r="E2362">
        <v>64.989999999999995</v>
      </c>
    </row>
    <row r="2363" spans="1:5" x14ac:dyDescent="0.25">
      <c r="A2363" t="s">
        <v>1469</v>
      </c>
      <c r="B2363" t="str">
        <f>VLOOKUP(Counties_by_State_Code[[#This Row],[State_Code]],Territory_by_Code[],2)</f>
        <v>Puerto Rico</v>
      </c>
      <c r="C2363" t="s">
        <v>1499</v>
      </c>
      <c r="D2363">
        <v>17784</v>
      </c>
      <c r="E2363">
        <v>42.27</v>
      </c>
    </row>
    <row r="2364" spans="1:5" x14ac:dyDescent="0.25">
      <c r="A2364" t="s">
        <v>1469</v>
      </c>
      <c r="B2364" t="str">
        <f>VLOOKUP(Counties_by_State_Code[[#This Row],[State_Code]],Territory_by_Code[],2)</f>
        <v>Puerto Rico</v>
      </c>
      <c r="C2364" t="s">
        <v>1500</v>
      </c>
      <c r="D2364">
        <v>89780</v>
      </c>
      <c r="E2364">
        <v>27.58</v>
      </c>
    </row>
    <row r="2365" spans="1:5" x14ac:dyDescent="0.25">
      <c r="A2365" t="s">
        <v>1469</v>
      </c>
      <c r="B2365" t="str">
        <f>VLOOKUP(Counties_by_State_Code[[#This Row],[State_Code]],Territory_by_Code[],2)</f>
        <v>Puerto Rico</v>
      </c>
      <c r="C2365" t="s">
        <v>1501</v>
      </c>
      <c r="D2365">
        <v>40622</v>
      </c>
      <c r="E2365">
        <v>27.89</v>
      </c>
    </row>
    <row r="2366" spans="1:5" x14ac:dyDescent="0.25">
      <c r="A2366" t="s">
        <v>1469</v>
      </c>
      <c r="B2366" t="str">
        <f>VLOOKUP(Counties_by_State_Code[[#This Row],[State_Code]],Territory_by_Code[],2)</f>
        <v>Puerto Rico</v>
      </c>
      <c r="C2366" t="s">
        <v>1502</v>
      </c>
      <c r="D2366">
        <v>38486</v>
      </c>
      <c r="E2366">
        <v>41.78</v>
      </c>
    </row>
    <row r="2367" spans="1:5" x14ac:dyDescent="0.25">
      <c r="A2367" t="s">
        <v>1469</v>
      </c>
      <c r="B2367" t="str">
        <f>VLOOKUP(Counties_by_State_Code[[#This Row],[State_Code]],Territory_by_Code[],2)</f>
        <v>Puerto Rico</v>
      </c>
      <c r="C2367" t="s">
        <v>1503</v>
      </c>
      <c r="D2367">
        <v>15654</v>
      </c>
      <c r="E2367">
        <v>11.34</v>
      </c>
    </row>
    <row r="2368" spans="1:5" x14ac:dyDescent="0.25">
      <c r="A2368" t="s">
        <v>1469</v>
      </c>
      <c r="B2368" t="str">
        <f>VLOOKUP(Counties_by_State_Code[[#This Row],[State_Code]],Territory_by_Code[],2)</f>
        <v>Puerto Rico</v>
      </c>
      <c r="C2368" t="s">
        <v>1504</v>
      </c>
      <c r="D2368">
        <v>50896</v>
      </c>
      <c r="E2368">
        <v>44.75</v>
      </c>
    </row>
    <row r="2369" spans="1:5" x14ac:dyDescent="0.25">
      <c r="A2369" t="s">
        <v>1469</v>
      </c>
      <c r="B2369" t="str">
        <f>VLOOKUP(Counties_by_State_Code[[#This Row],[State_Code]],Territory_by_Code[],2)</f>
        <v>Puerto Rico</v>
      </c>
      <c r="C2369" t="s">
        <v>1505</v>
      </c>
      <c r="D2369">
        <v>42943</v>
      </c>
      <c r="E2369">
        <v>55.3</v>
      </c>
    </row>
    <row r="2370" spans="1:5" x14ac:dyDescent="0.25">
      <c r="A2370" t="s">
        <v>1469</v>
      </c>
      <c r="B2370" t="str">
        <f>VLOOKUP(Counties_by_State_Code[[#This Row],[State_Code]],Territory_by_Code[],2)</f>
        <v>Puerto Rico</v>
      </c>
      <c r="C2370" t="s">
        <v>1506</v>
      </c>
      <c r="D2370">
        <v>14779</v>
      </c>
      <c r="E2370">
        <v>44.53</v>
      </c>
    </row>
    <row r="2371" spans="1:5" x14ac:dyDescent="0.25">
      <c r="A2371" t="s">
        <v>1469</v>
      </c>
      <c r="B2371" t="str">
        <f>VLOOKUP(Counties_by_State_Code[[#This Row],[State_Code]],Territory_by_Code[],2)</f>
        <v>Puerto Rico</v>
      </c>
      <c r="C2371" t="s">
        <v>1507</v>
      </c>
      <c r="D2371">
        <v>46538</v>
      </c>
      <c r="E2371">
        <v>60.28</v>
      </c>
    </row>
    <row r="2372" spans="1:5" x14ac:dyDescent="0.25">
      <c r="A2372" t="s">
        <v>1469</v>
      </c>
      <c r="B2372" t="str">
        <f>VLOOKUP(Counties_by_State_Code[[#This Row],[State_Code]],Territory_by_Code[],2)</f>
        <v>Puerto Rico</v>
      </c>
      <c r="C2372" t="s">
        <v>1508</v>
      </c>
      <c r="D2372">
        <v>37012</v>
      </c>
      <c r="E2372">
        <v>26.49</v>
      </c>
    </row>
    <row r="2373" spans="1:5" x14ac:dyDescent="0.25">
      <c r="A2373" t="s">
        <v>1469</v>
      </c>
      <c r="B2373" t="str">
        <f>VLOOKUP(Counties_by_State_Code[[#This Row],[State_Code]],Territory_by_Code[],2)</f>
        <v>Puerto Rico</v>
      </c>
      <c r="C2373" t="s">
        <v>1509</v>
      </c>
      <c r="D2373">
        <v>23334</v>
      </c>
      <c r="E2373">
        <v>59.95</v>
      </c>
    </row>
    <row r="2374" spans="1:5" x14ac:dyDescent="0.25">
      <c r="A2374" t="s">
        <v>1469</v>
      </c>
      <c r="B2374" t="str">
        <f>VLOOKUP(Counties_by_State_Code[[#This Row],[State_Code]],Territory_by_Code[],2)</f>
        <v>Puerto Rico</v>
      </c>
      <c r="C2374" t="s">
        <v>1510</v>
      </c>
      <c r="D2374">
        <v>28105</v>
      </c>
      <c r="E2374">
        <v>61.45</v>
      </c>
    </row>
    <row r="2375" spans="1:5" x14ac:dyDescent="0.25">
      <c r="A2375" t="s">
        <v>1469</v>
      </c>
      <c r="B2375" t="str">
        <f>VLOOKUP(Counties_by_State_Code[[#This Row],[State_Code]],Territory_by_Code[],2)</f>
        <v>Puerto Rico</v>
      </c>
      <c r="C2375" t="s">
        <v>1511</v>
      </c>
      <c r="D2375">
        <v>8874</v>
      </c>
      <c r="E2375">
        <v>46.36</v>
      </c>
    </row>
    <row r="2376" spans="1:5" x14ac:dyDescent="0.25">
      <c r="A2376" t="s">
        <v>1469</v>
      </c>
      <c r="B2376" t="str">
        <f>VLOOKUP(Counties_by_State_Code[[#This Row],[State_Code]],Territory_by_Code[],2)</f>
        <v>Puerto Rico</v>
      </c>
      <c r="C2376" t="s">
        <v>1512</v>
      </c>
      <c r="D2376">
        <v>35180</v>
      </c>
      <c r="E2376">
        <v>33.880000000000003</v>
      </c>
    </row>
    <row r="2377" spans="1:5" x14ac:dyDescent="0.25">
      <c r="A2377" t="s">
        <v>1469</v>
      </c>
      <c r="B2377" t="str">
        <f>VLOOKUP(Counties_by_State_Code[[#This Row],[State_Code]],Territory_by_Code[],2)</f>
        <v>Puerto Rico</v>
      </c>
      <c r="C2377" t="s">
        <v>1513</v>
      </c>
      <c r="D2377">
        <v>23693</v>
      </c>
      <c r="E2377">
        <v>19.37</v>
      </c>
    </row>
    <row r="2378" spans="1:5" x14ac:dyDescent="0.25">
      <c r="A2378" t="s">
        <v>1469</v>
      </c>
      <c r="B2378" t="str">
        <f>VLOOKUP(Counties_by_State_Code[[#This Row],[State_Code]],Territory_by_Code[],2)</f>
        <v>Puerto Rico</v>
      </c>
      <c r="C2378" t="s">
        <v>1514</v>
      </c>
      <c r="D2378">
        <v>17781</v>
      </c>
      <c r="E2378">
        <v>25.81</v>
      </c>
    </row>
    <row r="2379" spans="1:5" x14ac:dyDescent="0.25">
      <c r="A2379" t="s">
        <v>1469</v>
      </c>
      <c r="B2379" t="str">
        <f>VLOOKUP(Counties_by_State_Code[[#This Row],[State_Code]],Territory_by_Code[],2)</f>
        <v>Puerto Rico</v>
      </c>
      <c r="C2379" t="s">
        <v>1515</v>
      </c>
      <c r="D2379">
        <v>39492</v>
      </c>
      <c r="E2379">
        <v>46.13</v>
      </c>
    </row>
    <row r="2380" spans="1:5" x14ac:dyDescent="0.25">
      <c r="A2380" t="s">
        <v>1469</v>
      </c>
      <c r="B2380" t="str">
        <f>VLOOKUP(Counties_by_State_Code[[#This Row],[State_Code]],Territory_by_Code[],2)</f>
        <v>Puerto Rico</v>
      </c>
      <c r="C2380" t="s">
        <v>1516</v>
      </c>
      <c r="D2380">
        <v>4755</v>
      </c>
      <c r="E2380">
        <v>36.619999999999997</v>
      </c>
    </row>
    <row r="2381" spans="1:5" x14ac:dyDescent="0.25">
      <c r="A2381" t="s">
        <v>1469</v>
      </c>
      <c r="B2381" t="str">
        <f>VLOOKUP(Counties_by_State_Code[[#This Row],[State_Code]],Territory_by_Code[],2)</f>
        <v>Puerto Rico</v>
      </c>
      <c r="C2381" t="s">
        <v>1517</v>
      </c>
      <c r="D2381">
        <v>10589</v>
      </c>
      <c r="E2381">
        <v>21.07</v>
      </c>
    </row>
    <row r="2382" spans="1:5" x14ac:dyDescent="0.25">
      <c r="A2382" t="s">
        <v>1469</v>
      </c>
      <c r="B2382" t="str">
        <f>VLOOKUP(Counties_by_State_Code[[#This Row],[State_Code]],Territory_by_Code[],2)</f>
        <v>Puerto Rico</v>
      </c>
      <c r="C2382" t="s">
        <v>1518</v>
      </c>
      <c r="D2382">
        <v>73077</v>
      </c>
      <c r="E2382">
        <v>77.650000000000006</v>
      </c>
    </row>
    <row r="2383" spans="1:5" x14ac:dyDescent="0.25">
      <c r="A2383" t="s">
        <v>1469</v>
      </c>
      <c r="B2383" t="str">
        <f>VLOOKUP(Counties_by_State_Code[[#This Row],[State_Code]],Territory_by_Code[],2)</f>
        <v>Puerto Rico</v>
      </c>
      <c r="C2383" t="s">
        <v>1519</v>
      </c>
      <c r="D2383">
        <v>37460</v>
      </c>
      <c r="E2383">
        <v>50.34</v>
      </c>
    </row>
    <row r="2384" spans="1:5" x14ac:dyDescent="0.25">
      <c r="A2384" t="s">
        <v>1469</v>
      </c>
      <c r="B2384" t="str">
        <f>VLOOKUP(Counties_by_State_Code[[#This Row],[State_Code]],Territory_by_Code[],2)</f>
        <v>Puerto Rico</v>
      </c>
      <c r="C2384" t="s">
        <v>1520</v>
      </c>
      <c r="D2384">
        <v>28727</v>
      </c>
      <c r="E2384">
        <v>38.869999999999997</v>
      </c>
    </row>
    <row r="2385" spans="1:5" x14ac:dyDescent="0.25">
      <c r="A2385" t="s">
        <v>1469</v>
      </c>
      <c r="B2385" t="str">
        <f>VLOOKUP(Counties_by_State_Code[[#This Row],[State_Code]],Territory_by_Code[],2)</f>
        <v>Puerto Rico</v>
      </c>
      <c r="C2385" t="s">
        <v>1521</v>
      </c>
      <c r="D2385">
        <v>23386</v>
      </c>
      <c r="E2385">
        <v>51.66</v>
      </c>
    </row>
    <row r="2386" spans="1:5" x14ac:dyDescent="0.25">
      <c r="A2386" t="s">
        <v>1469</v>
      </c>
      <c r="B2386" t="str">
        <f>VLOOKUP(Counties_by_State_Code[[#This Row],[State_Code]],Territory_by_Code[],2)</f>
        <v>Puerto Rico</v>
      </c>
      <c r="C2386" t="s">
        <v>1522</v>
      </c>
      <c r="D2386">
        <v>29241</v>
      </c>
      <c r="E2386">
        <v>27.4</v>
      </c>
    </row>
    <row r="2387" spans="1:5" x14ac:dyDescent="0.25">
      <c r="A2387" t="s">
        <v>1469</v>
      </c>
      <c r="B2387" t="str">
        <f>VLOOKUP(Counties_by_State_Code[[#This Row],[State_Code]],Territory_by_Code[],2)</f>
        <v>Puerto Rico</v>
      </c>
      <c r="C2387" t="s">
        <v>1523</v>
      </c>
      <c r="D2387">
        <v>21434</v>
      </c>
      <c r="E2387">
        <v>63.62</v>
      </c>
    </row>
    <row r="2388" spans="1:5" x14ac:dyDescent="0.25">
      <c r="A2388" t="s">
        <v>1469</v>
      </c>
      <c r="B2388" t="str">
        <f>VLOOKUP(Counties_by_State_Code[[#This Row],[State_Code]],Territory_by_Code[],2)</f>
        <v>Puerto Rico</v>
      </c>
      <c r="C2388" t="s">
        <v>1524</v>
      </c>
      <c r="D2388">
        <v>15985</v>
      </c>
      <c r="E2388">
        <v>46.7</v>
      </c>
    </row>
    <row r="2389" spans="1:5" x14ac:dyDescent="0.25">
      <c r="A2389" t="s">
        <v>1469</v>
      </c>
      <c r="B2389" t="str">
        <f>VLOOKUP(Counties_by_State_Code[[#This Row],[State_Code]],Territory_by_Code[],2)</f>
        <v>Puerto Rico</v>
      </c>
      <c r="C2389" t="s">
        <v>1525</v>
      </c>
      <c r="D2389">
        <v>20399</v>
      </c>
      <c r="E2389">
        <v>44.62</v>
      </c>
    </row>
    <row r="2390" spans="1:5" x14ac:dyDescent="0.25">
      <c r="A2390" t="s">
        <v>1469</v>
      </c>
      <c r="B2390" t="str">
        <f>VLOOKUP(Counties_by_State_Code[[#This Row],[State_Code]],Territory_by_Code[],2)</f>
        <v>Puerto Rico</v>
      </c>
      <c r="C2390" t="s">
        <v>1526</v>
      </c>
      <c r="D2390">
        <v>137491</v>
      </c>
      <c r="E2390">
        <v>114.76</v>
      </c>
    </row>
    <row r="2391" spans="1:5" x14ac:dyDescent="0.25">
      <c r="A2391" t="s">
        <v>1469</v>
      </c>
      <c r="B2391" t="str">
        <f>VLOOKUP(Counties_by_State_Code[[#This Row],[State_Code]],Territory_by_Code[],2)</f>
        <v>Puerto Rico</v>
      </c>
      <c r="C2391" t="s">
        <v>1527</v>
      </c>
      <c r="D2391">
        <v>23638</v>
      </c>
      <c r="E2391">
        <v>22.68</v>
      </c>
    </row>
    <row r="2392" spans="1:5" x14ac:dyDescent="0.25">
      <c r="A2392" t="s">
        <v>1469</v>
      </c>
      <c r="B2392" t="str">
        <f>VLOOKUP(Counties_by_State_Code[[#This Row],[State_Code]],Territory_by_Code[],2)</f>
        <v>Puerto Rico</v>
      </c>
      <c r="C2392" t="s">
        <v>1528</v>
      </c>
      <c r="D2392">
        <v>15187</v>
      </c>
      <c r="E2392">
        <v>14.29</v>
      </c>
    </row>
    <row r="2393" spans="1:5" x14ac:dyDescent="0.25">
      <c r="A2393" t="s">
        <v>1469</v>
      </c>
      <c r="B2393" t="str">
        <f>VLOOKUP(Counties_by_State_Code[[#This Row],[State_Code]],Territory_by_Code[],2)</f>
        <v>Puerto Rico</v>
      </c>
      <c r="C2393" t="s">
        <v>1529</v>
      </c>
      <c r="D2393">
        <v>47060</v>
      </c>
      <c r="E2393">
        <v>60.62</v>
      </c>
    </row>
    <row r="2394" spans="1:5" x14ac:dyDescent="0.25">
      <c r="A2394" t="s">
        <v>1469</v>
      </c>
      <c r="B2394" t="str">
        <f>VLOOKUP(Counties_by_State_Code[[#This Row],[State_Code]],Territory_by_Code[],2)</f>
        <v>Puerto Rico</v>
      </c>
      <c r="C2394" t="s">
        <v>1530</v>
      </c>
      <c r="D2394">
        <v>22729</v>
      </c>
      <c r="E2394">
        <v>35.83</v>
      </c>
    </row>
    <row r="2395" spans="1:5" x14ac:dyDescent="0.25">
      <c r="A2395" t="s">
        <v>1469</v>
      </c>
      <c r="B2395" t="str">
        <f>VLOOKUP(Counties_by_State_Code[[#This Row],[State_Code]],Territory_by_Code[],2)</f>
        <v>Puerto Rico</v>
      </c>
      <c r="C2395" t="s">
        <v>1531</v>
      </c>
      <c r="D2395">
        <v>25789</v>
      </c>
      <c r="E2395">
        <v>69.37</v>
      </c>
    </row>
    <row r="2396" spans="1:5" x14ac:dyDescent="0.25">
      <c r="A2396" t="s">
        <v>1469</v>
      </c>
      <c r="B2396" t="str">
        <f>VLOOKUP(Counties_by_State_Code[[#This Row],[State_Code]],Territory_by_Code[],2)</f>
        <v>Puerto Rico</v>
      </c>
      <c r="C2396" t="s">
        <v>1532</v>
      </c>
      <c r="D2396">
        <v>31879</v>
      </c>
      <c r="E2396">
        <v>54.5</v>
      </c>
    </row>
    <row r="2397" spans="1:5" x14ac:dyDescent="0.25">
      <c r="A2397" t="s">
        <v>1469</v>
      </c>
      <c r="B2397" t="str">
        <f>VLOOKUP(Counties_by_State_Code[[#This Row],[State_Code]],Territory_by_Code[],2)</f>
        <v>Puerto Rico</v>
      </c>
      <c r="C2397" t="s">
        <v>286</v>
      </c>
      <c r="D2397">
        <v>342259</v>
      </c>
      <c r="E2397">
        <v>47.85</v>
      </c>
    </row>
    <row r="2398" spans="1:5" x14ac:dyDescent="0.25">
      <c r="A2398" t="s">
        <v>1469</v>
      </c>
      <c r="B2398" t="str">
        <f>VLOOKUP(Counties_by_State_Code[[#This Row],[State_Code]],Territory_by_Code[],2)</f>
        <v>Puerto Rico</v>
      </c>
      <c r="C2398" t="s">
        <v>1533</v>
      </c>
      <c r="D2398">
        <v>37693</v>
      </c>
      <c r="E2398">
        <v>53.11</v>
      </c>
    </row>
    <row r="2399" spans="1:5" x14ac:dyDescent="0.25">
      <c r="A2399" t="s">
        <v>1469</v>
      </c>
      <c r="B2399" t="str">
        <f>VLOOKUP(Counties_by_State_Code[[#This Row],[State_Code]],Territory_by_Code[],2)</f>
        <v>Puerto Rico</v>
      </c>
      <c r="C2399" t="s">
        <v>1534</v>
      </c>
      <c r="D2399">
        <v>39345</v>
      </c>
      <c r="E2399">
        <v>70.42</v>
      </c>
    </row>
    <row r="2400" spans="1:5" x14ac:dyDescent="0.25">
      <c r="A2400" t="s">
        <v>1469</v>
      </c>
      <c r="B2400" t="str">
        <f>VLOOKUP(Counties_by_State_Code[[#This Row],[State_Code]],Territory_by_Code[],2)</f>
        <v>Puerto Rico</v>
      </c>
      <c r="C2400" t="s">
        <v>1535</v>
      </c>
      <c r="D2400">
        <v>20281</v>
      </c>
      <c r="E2400">
        <v>34.020000000000003</v>
      </c>
    </row>
    <row r="2401" spans="1:5" x14ac:dyDescent="0.25">
      <c r="A2401" t="s">
        <v>1469</v>
      </c>
      <c r="B2401" t="str">
        <f>VLOOKUP(Counties_by_State_Code[[#This Row],[State_Code]],Territory_by_Code[],2)</f>
        <v>Puerto Rico</v>
      </c>
      <c r="C2401" t="s">
        <v>1536</v>
      </c>
      <c r="D2401">
        <v>66852</v>
      </c>
      <c r="E2401">
        <v>27.02</v>
      </c>
    </row>
    <row r="2402" spans="1:5" x14ac:dyDescent="0.25">
      <c r="A2402" t="s">
        <v>1469</v>
      </c>
      <c r="B2402" t="str">
        <f>VLOOKUP(Counties_by_State_Code[[#This Row],[State_Code]],Territory_by_Code[],2)</f>
        <v>Puerto Rico</v>
      </c>
      <c r="C2402" t="s">
        <v>1537</v>
      </c>
      <c r="D2402">
        <v>75293</v>
      </c>
      <c r="E2402">
        <v>23.24</v>
      </c>
    </row>
    <row r="2403" spans="1:5" x14ac:dyDescent="0.25">
      <c r="A2403" t="s">
        <v>1469</v>
      </c>
      <c r="B2403" t="str">
        <f>VLOOKUP(Counties_by_State_Code[[#This Row],[State_Code]],Territory_by_Code[],2)</f>
        <v>Puerto Rico</v>
      </c>
      <c r="C2403" t="s">
        <v>1538</v>
      </c>
      <c r="D2403">
        <v>67740</v>
      </c>
      <c r="E2403">
        <v>20.76</v>
      </c>
    </row>
    <row r="2404" spans="1:5" x14ac:dyDescent="0.25">
      <c r="A2404" t="s">
        <v>1469</v>
      </c>
      <c r="B2404" t="str">
        <f>VLOOKUP(Counties_by_State_Code[[#This Row],[State_Code]],Territory_by_Code[],2)</f>
        <v>Puerto Rico</v>
      </c>
      <c r="C2404" t="s">
        <v>1539</v>
      </c>
      <c r="D2404">
        <v>28287</v>
      </c>
      <c r="E2404">
        <v>113.53</v>
      </c>
    </row>
    <row r="2405" spans="1:5" x14ac:dyDescent="0.25">
      <c r="A2405" t="s">
        <v>1469</v>
      </c>
      <c r="B2405" t="str">
        <f>VLOOKUP(Counties_by_State_Code[[#This Row],[State_Code]],Territory_by_Code[],2)</f>
        <v>Puerto Rico</v>
      </c>
      <c r="C2405" t="s">
        <v>1540</v>
      </c>
      <c r="D2405">
        <v>35395</v>
      </c>
      <c r="E2405">
        <v>27.73</v>
      </c>
    </row>
    <row r="2406" spans="1:5" x14ac:dyDescent="0.25">
      <c r="A2406" t="s">
        <v>1469</v>
      </c>
      <c r="B2406" t="str">
        <f>VLOOKUP(Counties_by_State_Code[[#This Row],[State_Code]],Territory_by_Code[],2)</f>
        <v>Puerto Rico</v>
      </c>
      <c r="C2406" t="s">
        <v>1541</v>
      </c>
      <c r="D2406">
        <v>54414</v>
      </c>
      <c r="E2406">
        <v>45.86</v>
      </c>
    </row>
    <row r="2407" spans="1:5" x14ac:dyDescent="0.25">
      <c r="A2407" t="s">
        <v>1469</v>
      </c>
      <c r="B2407" t="str">
        <f>VLOOKUP(Counties_by_State_Code[[#This Row],[State_Code]],Territory_by_Code[],2)</f>
        <v>Puerto Rico</v>
      </c>
      <c r="C2407" t="s">
        <v>1542</v>
      </c>
      <c r="D2407">
        <v>8249</v>
      </c>
      <c r="E2407">
        <v>50.77</v>
      </c>
    </row>
    <row r="2408" spans="1:5" x14ac:dyDescent="0.25">
      <c r="A2408" t="s">
        <v>1469</v>
      </c>
      <c r="B2408" t="str">
        <f>VLOOKUP(Counties_by_State_Code[[#This Row],[State_Code]],Territory_by_Code[],2)</f>
        <v>Puerto Rico</v>
      </c>
      <c r="C2408" t="s">
        <v>1543</v>
      </c>
      <c r="D2408">
        <v>22093</v>
      </c>
      <c r="E2408">
        <v>35.64</v>
      </c>
    </row>
    <row r="2409" spans="1:5" x14ac:dyDescent="0.25">
      <c r="A2409" t="s">
        <v>1469</v>
      </c>
      <c r="B2409" t="str">
        <f>VLOOKUP(Counties_by_State_Code[[#This Row],[State_Code]],Territory_by_Code[],2)</f>
        <v>Puerto Rico</v>
      </c>
      <c r="C2409" t="s">
        <v>1544</v>
      </c>
      <c r="D2409">
        <v>30426</v>
      </c>
      <c r="E2409">
        <v>55.21</v>
      </c>
    </row>
    <row r="2410" spans="1:5" x14ac:dyDescent="0.25">
      <c r="A2410" t="s">
        <v>1469</v>
      </c>
      <c r="B2410" t="str">
        <f>VLOOKUP(Counties_by_State_Code[[#This Row],[State_Code]],Territory_by_Code[],2)</f>
        <v>Puerto Rico</v>
      </c>
      <c r="C2410" t="s">
        <v>1545</v>
      </c>
      <c r="D2410">
        <v>34172</v>
      </c>
      <c r="E2410">
        <v>68.19</v>
      </c>
    </row>
    <row r="2411" spans="1:5" x14ac:dyDescent="0.25">
      <c r="A2411" t="s">
        <v>1546</v>
      </c>
      <c r="B2411" t="str">
        <f>VLOOKUP(Counties_by_State_Code[[#This Row],[State_Code]],Territory_by_Code[],2)</f>
        <v>Rhode Island</v>
      </c>
      <c r="C2411" t="s">
        <v>864</v>
      </c>
      <c r="D2411">
        <v>50793</v>
      </c>
      <c r="E2411">
        <v>24</v>
      </c>
    </row>
    <row r="2412" spans="1:5" x14ac:dyDescent="0.25">
      <c r="A2412" t="s">
        <v>1546</v>
      </c>
      <c r="B2412" t="str">
        <f>VLOOKUP(Counties_by_State_Code[[#This Row],[State_Code]],Territory_by_Code[],2)</f>
        <v>Rhode Island</v>
      </c>
      <c r="C2412" t="s">
        <v>310</v>
      </c>
      <c r="D2412">
        <v>170363</v>
      </c>
      <c r="E2412">
        <v>168</v>
      </c>
    </row>
    <row r="2413" spans="1:5" x14ac:dyDescent="0.25">
      <c r="A2413" t="s">
        <v>1546</v>
      </c>
      <c r="B2413" t="str">
        <f>VLOOKUP(Counties_by_State_Code[[#This Row],[State_Code]],Territory_by_Code[],2)</f>
        <v>Rhode Island</v>
      </c>
      <c r="C2413" t="s">
        <v>1547</v>
      </c>
      <c r="D2413">
        <v>85643</v>
      </c>
      <c r="E2413">
        <v>102</v>
      </c>
    </row>
    <row r="2414" spans="1:5" x14ac:dyDescent="0.25">
      <c r="A2414" t="s">
        <v>1546</v>
      </c>
      <c r="B2414" t="str">
        <f>VLOOKUP(Counties_by_State_Code[[#This Row],[State_Code]],Territory_by_Code[],2)</f>
        <v>Rhode Island</v>
      </c>
      <c r="C2414" t="s">
        <v>1548</v>
      </c>
      <c r="D2414">
        <v>660741</v>
      </c>
      <c r="E2414">
        <v>409</v>
      </c>
    </row>
    <row r="2415" spans="1:5" x14ac:dyDescent="0.25">
      <c r="A2415" t="s">
        <v>1546</v>
      </c>
      <c r="B2415" t="str">
        <f>VLOOKUP(Counties_by_State_Code[[#This Row],[State_Code]],Territory_by_Code[],2)</f>
        <v>Rhode Island</v>
      </c>
      <c r="C2415" t="s">
        <v>65</v>
      </c>
      <c r="D2415">
        <v>129839</v>
      </c>
      <c r="E2415">
        <v>329</v>
      </c>
    </row>
    <row r="2416" spans="1:5" x14ac:dyDescent="0.25">
      <c r="A2416" t="s">
        <v>1550</v>
      </c>
      <c r="B2416" t="str">
        <f>VLOOKUP(Counties_by_State_Code[[#This Row],[State_Code]],Territory_by_Code[],2)</f>
        <v>South Carolina</v>
      </c>
      <c r="C2416" t="s">
        <v>1549</v>
      </c>
      <c r="D2416">
        <v>24295</v>
      </c>
      <c r="E2416">
        <v>511</v>
      </c>
    </row>
    <row r="2417" spans="1:5" x14ac:dyDescent="0.25">
      <c r="A2417" t="s">
        <v>1550</v>
      </c>
      <c r="B2417" t="str">
        <f>VLOOKUP(Counties_by_State_Code[[#This Row],[State_Code]],Territory_by_Code[],2)</f>
        <v>South Carolina</v>
      </c>
      <c r="C2417" t="s">
        <v>1551</v>
      </c>
      <c r="D2417">
        <v>168808</v>
      </c>
      <c r="E2417">
        <v>1080</v>
      </c>
    </row>
    <row r="2418" spans="1:5" x14ac:dyDescent="0.25">
      <c r="A2418" t="s">
        <v>1550</v>
      </c>
      <c r="B2418" t="str">
        <f>VLOOKUP(Counties_by_State_Code[[#This Row],[State_Code]],Territory_by_Code[],2)</f>
        <v>South Carolina</v>
      </c>
      <c r="C2418" t="s">
        <v>1552</v>
      </c>
      <c r="D2418">
        <v>8039</v>
      </c>
      <c r="E2418">
        <v>413</v>
      </c>
    </row>
    <row r="2419" spans="1:5" x14ac:dyDescent="0.25">
      <c r="A2419" t="s">
        <v>1550</v>
      </c>
      <c r="B2419" t="str">
        <f>VLOOKUP(Counties_by_State_Code[[#This Row],[State_Code]],Territory_by_Code[],2)</f>
        <v>South Carolina</v>
      </c>
      <c r="C2419" t="s">
        <v>661</v>
      </c>
      <c r="D2419">
        <v>203718</v>
      </c>
      <c r="E2419">
        <v>757</v>
      </c>
    </row>
    <row r="2420" spans="1:5" x14ac:dyDescent="0.25">
      <c r="A2420" t="s">
        <v>1550</v>
      </c>
      <c r="B2420" t="str">
        <f>VLOOKUP(Counties_by_State_Code[[#This Row],[State_Code]],Territory_by_Code[],2)</f>
        <v>South Carolina</v>
      </c>
      <c r="C2420" t="s">
        <v>1553</v>
      </c>
      <c r="D2420">
        <v>13311</v>
      </c>
      <c r="E2420">
        <v>395</v>
      </c>
    </row>
    <row r="2421" spans="1:5" x14ac:dyDescent="0.25">
      <c r="A2421" t="s">
        <v>1550</v>
      </c>
      <c r="B2421" t="str">
        <f>VLOOKUP(Counties_by_State_Code[[#This Row],[State_Code]],Territory_by_Code[],2)</f>
        <v>South Carolina</v>
      </c>
      <c r="C2421" t="s">
        <v>1554</v>
      </c>
      <c r="D2421">
        <v>20589</v>
      </c>
      <c r="E2421">
        <v>557</v>
      </c>
    </row>
    <row r="2422" spans="1:5" x14ac:dyDescent="0.25">
      <c r="A2422" t="s">
        <v>1550</v>
      </c>
      <c r="B2422" t="str">
        <f>VLOOKUP(Counties_by_State_Code[[#This Row],[State_Code]],Territory_by_Code[],2)</f>
        <v>South Carolina</v>
      </c>
      <c r="C2422" t="s">
        <v>1244</v>
      </c>
      <c r="D2422">
        <v>187117</v>
      </c>
      <c r="E2422">
        <v>576</v>
      </c>
    </row>
    <row r="2423" spans="1:5" x14ac:dyDescent="0.25">
      <c r="A2423" t="s">
        <v>1550</v>
      </c>
      <c r="B2423" t="str">
        <f>VLOOKUP(Counties_by_State_Code[[#This Row],[State_Code]],Territory_by_Code[],2)</f>
        <v>South Carolina</v>
      </c>
      <c r="C2423" t="s">
        <v>1555</v>
      </c>
      <c r="D2423">
        <v>229861</v>
      </c>
      <c r="E2423">
        <v>1228</v>
      </c>
    </row>
    <row r="2424" spans="1:5" x14ac:dyDescent="0.25">
      <c r="A2424" t="s">
        <v>1550</v>
      </c>
      <c r="B2424" t="str">
        <f>VLOOKUP(Counties_by_State_Code[[#This Row],[State_Code]],Territory_by_Code[],2)</f>
        <v>South Carolina</v>
      </c>
      <c r="C2424" t="s">
        <v>8</v>
      </c>
      <c r="D2424">
        <v>14119</v>
      </c>
      <c r="E2424">
        <v>392</v>
      </c>
    </row>
    <row r="2425" spans="1:5" x14ac:dyDescent="0.25">
      <c r="A2425" t="s">
        <v>1550</v>
      </c>
      <c r="B2425" t="str">
        <f>VLOOKUP(Counties_by_State_Code[[#This Row],[State_Code]],Territory_by_Code[],2)</f>
        <v>South Carolina</v>
      </c>
      <c r="C2425" t="s">
        <v>1556</v>
      </c>
      <c r="D2425">
        <v>408235</v>
      </c>
      <c r="E2425">
        <v>1358</v>
      </c>
    </row>
    <row r="2426" spans="1:5" x14ac:dyDescent="0.25">
      <c r="A2426" t="s">
        <v>1550</v>
      </c>
      <c r="B2426" t="str">
        <f>VLOOKUP(Counties_by_State_Code[[#This Row],[State_Code]],Territory_by_Code[],2)</f>
        <v>South Carolina</v>
      </c>
      <c r="C2426" t="s">
        <v>10</v>
      </c>
      <c r="D2426">
        <v>56216</v>
      </c>
      <c r="E2426">
        <v>397</v>
      </c>
    </row>
    <row r="2427" spans="1:5" x14ac:dyDescent="0.25">
      <c r="A2427" t="s">
        <v>1550</v>
      </c>
      <c r="B2427" t="str">
        <f>VLOOKUP(Counties_by_State_Code[[#This Row],[State_Code]],Territory_by_Code[],2)</f>
        <v>South Carolina</v>
      </c>
      <c r="C2427" t="s">
        <v>1444</v>
      </c>
      <c r="D2427">
        <v>32294</v>
      </c>
      <c r="E2427">
        <v>586</v>
      </c>
    </row>
    <row r="2428" spans="1:5" x14ac:dyDescent="0.25">
      <c r="A2428" t="s">
        <v>1550</v>
      </c>
      <c r="B2428" t="str">
        <f>VLOOKUP(Counties_by_State_Code[[#This Row],[State_Code]],Territory_by_Code[],2)</f>
        <v>South Carolina</v>
      </c>
      <c r="C2428" t="s">
        <v>1557</v>
      </c>
      <c r="D2428">
        <v>43273</v>
      </c>
      <c r="E2428">
        <v>806</v>
      </c>
    </row>
    <row r="2429" spans="1:5" x14ac:dyDescent="0.25">
      <c r="A2429" t="s">
        <v>1550</v>
      </c>
      <c r="B2429" t="str">
        <f>VLOOKUP(Counties_by_State_Code[[#This Row],[State_Code]],Territory_by_Code[],2)</f>
        <v>South Carolina</v>
      </c>
      <c r="C2429" t="s">
        <v>1558</v>
      </c>
      <c r="D2429">
        <v>31144</v>
      </c>
      <c r="E2429">
        <v>696</v>
      </c>
    </row>
    <row r="2430" spans="1:5" x14ac:dyDescent="0.25">
      <c r="A2430" t="s">
        <v>1550</v>
      </c>
      <c r="B2430" t="str">
        <f>VLOOKUP(Counties_by_State_Code[[#This Row],[State_Code]],Territory_by_Code[],2)</f>
        <v>South Carolina</v>
      </c>
      <c r="C2430" t="s">
        <v>1559</v>
      </c>
      <c r="D2430">
        <v>38604</v>
      </c>
      <c r="E2430">
        <v>1133</v>
      </c>
    </row>
    <row r="2431" spans="1:5" x14ac:dyDescent="0.25">
      <c r="A2431" t="s">
        <v>1550</v>
      </c>
      <c r="B2431" t="str">
        <f>VLOOKUP(Counties_by_State_Code[[#This Row],[State_Code]],Territory_by_Code[],2)</f>
        <v>South Carolina</v>
      </c>
      <c r="C2431" t="s">
        <v>1560</v>
      </c>
      <c r="D2431">
        <v>62905</v>
      </c>
      <c r="E2431">
        <v>567</v>
      </c>
    </row>
    <row r="2432" spans="1:5" x14ac:dyDescent="0.25">
      <c r="A2432" t="s">
        <v>1550</v>
      </c>
      <c r="B2432" t="str">
        <f>VLOOKUP(Counties_by_State_Code[[#This Row],[State_Code]],Territory_by_Code[],2)</f>
        <v>South Carolina</v>
      </c>
      <c r="C2432" t="s">
        <v>1561</v>
      </c>
      <c r="D2432">
        <v>28292</v>
      </c>
      <c r="E2432">
        <v>407</v>
      </c>
    </row>
    <row r="2433" spans="1:5" x14ac:dyDescent="0.25">
      <c r="A2433" t="s">
        <v>1550</v>
      </c>
      <c r="B2433" t="str">
        <f>VLOOKUP(Counties_by_State_Code[[#This Row],[State_Code]],Territory_by_Code[],2)</f>
        <v>South Carolina</v>
      </c>
      <c r="C2433" t="s">
        <v>851</v>
      </c>
      <c r="D2433">
        <v>161540</v>
      </c>
      <c r="E2433">
        <v>577</v>
      </c>
    </row>
    <row r="2434" spans="1:5" x14ac:dyDescent="0.25">
      <c r="A2434" t="s">
        <v>1550</v>
      </c>
      <c r="B2434" t="str">
        <f>VLOOKUP(Counties_by_State_Code[[#This Row],[State_Code]],Territory_by_Code[],2)</f>
        <v>South Carolina</v>
      </c>
      <c r="C2434" t="s">
        <v>1562</v>
      </c>
      <c r="D2434">
        <v>25657</v>
      </c>
      <c r="E2434">
        <v>507</v>
      </c>
    </row>
    <row r="2435" spans="1:5" x14ac:dyDescent="0.25">
      <c r="A2435" t="s">
        <v>1550</v>
      </c>
      <c r="B2435" t="str">
        <f>VLOOKUP(Counties_by_State_Code[[#This Row],[State_Code]],Territory_by_Code[],2)</f>
        <v>South Carolina</v>
      </c>
      <c r="C2435" t="s">
        <v>294</v>
      </c>
      <c r="D2435">
        <v>20948</v>
      </c>
      <c r="E2435">
        <v>710</v>
      </c>
    </row>
    <row r="2436" spans="1:5" x14ac:dyDescent="0.25">
      <c r="A2436" t="s">
        <v>1550</v>
      </c>
      <c r="B2436" t="str">
        <f>VLOOKUP(Counties_by_State_Code[[#This Row],[State_Code]],Territory_by_Code[],2)</f>
        <v>South Carolina</v>
      </c>
      <c r="C2436" t="s">
        <v>1563</v>
      </c>
      <c r="D2436">
        <v>137059</v>
      </c>
      <c r="E2436">
        <v>804</v>
      </c>
    </row>
    <row r="2437" spans="1:5" x14ac:dyDescent="0.25">
      <c r="A2437" t="s">
        <v>1550</v>
      </c>
      <c r="B2437" t="str">
        <f>VLOOKUP(Counties_by_State_Code[[#This Row],[State_Code]],Territory_by_Code[],2)</f>
        <v>South Carolina</v>
      </c>
      <c r="C2437" t="s">
        <v>1564</v>
      </c>
      <c r="D2437">
        <v>63404</v>
      </c>
      <c r="E2437">
        <v>813.55</v>
      </c>
    </row>
    <row r="2438" spans="1:5" x14ac:dyDescent="0.25">
      <c r="A2438" t="s">
        <v>1550</v>
      </c>
      <c r="B2438" t="str">
        <f>VLOOKUP(Counties_by_State_Code[[#This Row],[State_Code]],Territory_by_Code[],2)</f>
        <v>South Carolina</v>
      </c>
      <c r="C2438" t="s">
        <v>1565</v>
      </c>
      <c r="D2438">
        <v>525534</v>
      </c>
      <c r="E2438">
        <v>795</v>
      </c>
    </row>
    <row r="2439" spans="1:5" x14ac:dyDescent="0.25">
      <c r="A2439" t="s">
        <v>1550</v>
      </c>
      <c r="B2439" t="str">
        <f>VLOOKUP(Counties_by_State_Code[[#This Row],[State_Code]],Territory_by_Code[],2)</f>
        <v>South Carolina</v>
      </c>
      <c r="C2439" t="s">
        <v>681</v>
      </c>
      <c r="D2439">
        <v>69351</v>
      </c>
      <c r="E2439">
        <v>463</v>
      </c>
    </row>
    <row r="2440" spans="1:5" x14ac:dyDescent="0.25">
      <c r="A2440" t="s">
        <v>1550</v>
      </c>
      <c r="B2440" t="str">
        <f>VLOOKUP(Counties_by_State_Code[[#This Row],[State_Code]],Territory_by_Code[],2)</f>
        <v>South Carolina</v>
      </c>
      <c r="C2440" t="s">
        <v>1566</v>
      </c>
      <c r="D2440">
        <v>18561</v>
      </c>
      <c r="E2440">
        <v>563</v>
      </c>
    </row>
    <row r="2441" spans="1:5" x14ac:dyDescent="0.25">
      <c r="A2441" t="s">
        <v>1550</v>
      </c>
      <c r="B2441" t="str">
        <f>VLOOKUP(Counties_by_State_Code[[#This Row],[State_Code]],Territory_by_Code[],2)</f>
        <v>South Carolina</v>
      </c>
      <c r="C2441" t="s">
        <v>1567</v>
      </c>
      <c r="D2441">
        <v>351029</v>
      </c>
      <c r="E2441">
        <v>1255</v>
      </c>
    </row>
    <row r="2442" spans="1:5" x14ac:dyDescent="0.25">
      <c r="A2442" t="s">
        <v>1550</v>
      </c>
      <c r="B2442" t="str">
        <f>VLOOKUP(Counties_by_State_Code[[#This Row],[State_Code]],Territory_by_Code[],2)</f>
        <v>South Carolina</v>
      </c>
      <c r="C2442" t="s">
        <v>424</v>
      </c>
      <c r="D2442">
        <v>28791</v>
      </c>
      <c r="E2442">
        <v>700</v>
      </c>
    </row>
    <row r="2443" spans="1:5" x14ac:dyDescent="0.25">
      <c r="A2443" t="s">
        <v>1550</v>
      </c>
      <c r="B2443" t="str">
        <f>VLOOKUP(Counties_by_State_Code[[#This Row],[State_Code]],Territory_by_Code[],2)</f>
        <v>South Carolina</v>
      </c>
      <c r="C2443" t="s">
        <v>1568</v>
      </c>
      <c r="D2443">
        <v>65403</v>
      </c>
      <c r="E2443">
        <v>740</v>
      </c>
    </row>
    <row r="2444" spans="1:5" x14ac:dyDescent="0.25">
      <c r="A2444" t="s">
        <v>1550</v>
      </c>
      <c r="B2444" t="str">
        <f>VLOOKUP(Counties_by_State_Code[[#This Row],[State_Code]],Territory_by_Code[],2)</f>
        <v>South Carolina</v>
      </c>
      <c r="C2444" t="s">
        <v>1135</v>
      </c>
      <c r="D2444">
        <v>96016</v>
      </c>
      <c r="E2444">
        <v>555</v>
      </c>
    </row>
    <row r="2445" spans="1:5" x14ac:dyDescent="0.25">
      <c r="A2445" t="s">
        <v>1550</v>
      </c>
      <c r="B2445" t="str">
        <f>VLOOKUP(Counties_by_State_Code[[#This Row],[State_Code]],Territory_by_Code[],2)</f>
        <v>South Carolina</v>
      </c>
      <c r="C2445" t="s">
        <v>429</v>
      </c>
      <c r="D2445">
        <v>67539</v>
      </c>
      <c r="E2445">
        <v>724</v>
      </c>
    </row>
    <row r="2446" spans="1:5" x14ac:dyDescent="0.25">
      <c r="A2446" t="s">
        <v>1550</v>
      </c>
      <c r="B2446" t="str">
        <f>VLOOKUP(Counties_by_State_Code[[#This Row],[State_Code]],Territory_by_Code[],2)</f>
        <v>South Carolina</v>
      </c>
      <c r="C2446" t="s">
        <v>41</v>
      </c>
      <c r="D2446">
        <v>16531</v>
      </c>
      <c r="E2446">
        <v>411</v>
      </c>
    </row>
    <row r="2447" spans="1:5" x14ac:dyDescent="0.25">
      <c r="A2447" t="s">
        <v>1550</v>
      </c>
      <c r="B2447" t="str">
        <f>VLOOKUP(Counties_by_State_Code[[#This Row],[State_Code]],Territory_by_Code[],2)</f>
        <v>South Carolina</v>
      </c>
      <c r="C2447" t="s">
        <v>1569</v>
      </c>
      <c r="D2447">
        <v>293991</v>
      </c>
      <c r="E2447">
        <v>758</v>
      </c>
    </row>
    <row r="2448" spans="1:5" x14ac:dyDescent="0.25">
      <c r="A2448" t="s">
        <v>1550</v>
      </c>
      <c r="B2448" t="str">
        <f>VLOOKUP(Counties_by_State_Code[[#This Row],[State_Code]],Territory_by_Code[],2)</f>
        <v>South Carolina</v>
      </c>
      <c r="C2448" t="s">
        <v>47</v>
      </c>
      <c r="D2448">
        <v>29183</v>
      </c>
      <c r="E2448">
        <v>485</v>
      </c>
    </row>
    <row r="2449" spans="1:5" x14ac:dyDescent="0.25">
      <c r="A2449" t="s">
        <v>1550</v>
      </c>
      <c r="B2449" t="str">
        <f>VLOOKUP(Counties_by_State_Code[[#This Row],[State_Code]],Territory_by_Code[],2)</f>
        <v>South Carolina</v>
      </c>
      <c r="C2449" t="s">
        <v>1570</v>
      </c>
      <c r="D2449">
        <v>26667</v>
      </c>
      <c r="E2449">
        <v>394</v>
      </c>
    </row>
    <row r="2450" spans="1:5" x14ac:dyDescent="0.25">
      <c r="A2450" t="s">
        <v>1550</v>
      </c>
      <c r="B2450" t="str">
        <f>VLOOKUP(Counties_by_State_Code[[#This Row],[State_Code]],Territory_by_Code[],2)</f>
        <v>South Carolina</v>
      </c>
      <c r="C2450" t="s">
        <v>1571</v>
      </c>
      <c r="D2450">
        <v>9526</v>
      </c>
      <c r="E2450">
        <v>494</v>
      </c>
    </row>
    <row r="2451" spans="1:5" x14ac:dyDescent="0.25">
      <c r="A2451" t="s">
        <v>1550</v>
      </c>
      <c r="B2451" t="str">
        <f>VLOOKUP(Counties_by_State_Code[[#This Row],[State_Code]],Territory_by_Code[],2)</f>
        <v>South Carolina</v>
      </c>
      <c r="C2451" t="s">
        <v>1572</v>
      </c>
      <c r="D2451">
        <v>37719</v>
      </c>
      <c r="E2451">
        <v>647</v>
      </c>
    </row>
    <row r="2452" spans="1:5" x14ac:dyDescent="0.25">
      <c r="A2452" t="s">
        <v>1550</v>
      </c>
      <c r="B2452" t="str">
        <f>VLOOKUP(Counties_by_State_Code[[#This Row],[State_Code]],Territory_by_Code[],2)</f>
        <v>South Carolina</v>
      </c>
      <c r="C2452" t="s">
        <v>438</v>
      </c>
      <c r="D2452">
        <v>78607</v>
      </c>
      <c r="E2452">
        <v>674</v>
      </c>
    </row>
    <row r="2453" spans="1:5" x14ac:dyDescent="0.25">
      <c r="A2453" t="s">
        <v>1550</v>
      </c>
      <c r="B2453" t="str">
        <f>VLOOKUP(Counties_by_State_Code[[#This Row],[State_Code]],Territory_by_Code[],2)</f>
        <v>South Carolina</v>
      </c>
      <c r="C2453" t="s">
        <v>1573</v>
      </c>
      <c r="D2453">
        <v>84223</v>
      </c>
      <c r="E2453">
        <v>1128</v>
      </c>
    </row>
    <row r="2454" spans="1:5" x14ac:dyDescent="0.25">
      <c r="A2454" t="s">
        <v>1550</v>
      </c>
      <c r="B2454" t="str">
        <f>VLOOKUP(Counties_by_State_Code[[#This Row],[State_Code]],Territory_by_Code[],2)</f>
        <v>South Carolina</v>
      </c>
      <c r="C2454" t="s">
        <v>54</v>
      </c>
      <c r="D2454">
        <v>131404</v>
      </c>
      <c r="E2454">
        <v>512</v>
      </c>
    </row>
    <row r="2455" spans="1:5" x14ac:dyDescent="0.25">
      <c r="A2455" t="s">
        <v>1550</v>
      </c>
      <c r="B2455" t="str">
        <f>VLOOKUP(Counties_by_State_Code[[#This Row],[State_Code]],Territory_by_Code[],2)</f>
        <v>South Carolina</v>
      </c>
      <c r="C2455" t="s">
        <v>558</v>
      </c>
      <c r="D2455">
        <v>416147</v>
      </c>
      <c r="E2455">
        <v>772</v>
      </c>
    </row>
    <row r="2456" spans="1:5" x14ac:dyDescent="0.25">
      <c r="A2456" t="s">
        <v>1550</v>
      </c>
      <c r="B2456" t="str">
        <f>VLOOKUP(Counties_by_State_Code[[#This Row],[State_Code]],Territory_by_Code[],2)</f>
        <v>South Carolina</v>
      </c>
      <c r="C2456" t="s">
        <v>1574</v>
      </c>
      <c r="D2456">
        <v>18862</v>
      </c>
      <c r="E2456">
        <v>462</v>
      </c>
    </row>
    <row r="2457" spans="1:5" x14ac:dyDescent="0.25">
      <c r="A2457" t="s">
        <v>1550</v>
      </c>
      <c r="B2457" t="str">
        <f>VLOOKUP(Counties_by_State_Code[[#This Row],[State_Code]],Territory_by_Code[],2)</f>
        <v>South Carolina</v>
      </c>
      <c r="C2457" t="s">
        <v>1575</v>
      </c>
      <c r="D2457">
        <v>327997</v>
      </c>
      <c r="E2457">
        <v>819</v>
      </c>
    </row>
    <row r="2458" spans="1:5" x14ac:dyDescent="0.25">
      <c r="A2458" t="s">
        <v>1550</v>
      </c>
      <c r="B2458" t="str">
        <f>VLOOKUP(Counties_by_State_Code[[#This Row],[State_Code]],Territory_by_Code[],2)</f>
        <v>South Carolina</v>
      </c>
      <c r="C2458" t="s">
        <v>60</v>
      </c>
      <c r="D2458">
        <v>105556</v>
      </c>
      <c r="E2458">
        <v>682</v>
      </c>
    </row>
    <row r="2459" spans="1:5" x14ac:dyDescent="0.25">
      <c r="A2459" t="s">
        <v>1550</v>
      </c>
      <c r="B2459" t="str">
        <f>VLOOKUP(Counties_by_State_Code[[#This Row],[State_Code]],Territory_by_Code[],2)</f>
        <v>South Carolina</v>
      </c>
      <c r="C2459" t="s">
        <v>174</v>
      </c>
      <c r="D2459">
        <v>27244</v>
      </c>
      <c r="E2459">
        <v>516</v>
      </c>
    </row>
    <row r="2460" spans="1:5" x14ac:dyDescent="0.25">
      <c r="A2460" t="s">
        <v>1550</v>
      </c>
      <c r="B2460" t="str">
        <f>VLOOKUP(Counties_by_State_Code[[#This Row],[State_Code]],Territory_by_Code[],2)</f>
        <v>South Carolina</v>
      </c>
      <c r="C2460" t="s">
        <v>1576</v>
      </c>
      <c r="D2460">
        <v>31026</v>
      </c>
      <c r="E2460">
        <v>937</v>
      </c>
    </row>
    <row r="2461" spans="1:5" x14ac:dyDescent="0.25">
      <c r="A2461" t="s">
        <v>1550</v>
      </c>
      <c r="B2461" t="str">
        <f>VLOOKUP(Counties_by_State_Code[[#This Row],[State_Code]],Territory_by_Code[],2)</f>
        <v>South Carolina</v>
      </c>
      <c r="C2461" t="s">
        <v>842</v>
      </c>
      <c r="D2461">
        <v>282090</v>
      </c>
      <c r="E2461">
        <v>696</v>
      </c>
    </row>
    <row r="2462" spans="1:5" x14ac:dyDescent="0.25">
      <c r="A2462" t="s">
        <v>1578</v>
      </c>
      <c r="B2462" t="str">
        <f>VLOOKUP(Counties_by_State_Code[[#This Row],[State_Code]],Territory_by_Code[],2)</f>
        <v>South Dakota</v>
      </c>
      <c r="C2462" t="s">
        <v>1577</v>
      </c>
      <c r="D2462">
        <v>2747</v>
      </c>
      <c r="E2462">
        <v>708</v>
      </c>
    </row>
    <row r="2463" spans="1:5" x14ac:dyDescent="0.25">
      <c r="A2463" t="s">
        <v>1578</v>
      </c>
      <c r="B2463" t="str">
        <f>VLOOKUP(Counties_by_State_Code[[#This Row],[State_Code]],Territory_by_Code[],2)</f>
        <v>South Dakota</v>
      </c>
      <c r="C2463" t="s">
        <v>1579</v>
      </c>
      <c r="D2463">
        <v>19149</v>
      </c>
      <c r="E2463">
        <v>1259</v>
      </c>
    </row>
    <row r="2464" spans="1:5" x14ac:dyDescent="0.25">
      <c r="A2464" t="s">
        <v>1578</v>
      </c>
      <c r="B2464" t="str">
        <f>VLOOKUP(Counties_by_State_Code[[#This Row],[State_Code]],Territory_by_Code[],2)</f>
        <v>South Dakota</v>
      </c>
      <c r="C2464" t="s">
        <v>1580</v>
      </c>
      <c r="D2464">
        <v>3381</v>
      </c>
      <c r="E2464">
        <v>1185</v>
      </c>
    </row>
    <row r="2465" spans="1:5" x14ac:dyDescent="0.25">
      <c r="A2465" t="s">
        <v>1578</v>
      </c>
      <c r="B2465" t="str">
        <f>VLOOKUP(Counties_by_State_Code[[#This Row],[State_Code]],Territory_by_Code[],2)</f>
        <v>South Dakota</v>
      </c>
      <c r="C2465" t="s">
        <v>1581</v>
      </c>
      <c r="D2465">
        <v>7003</v>
      </c>
      <c r="E2465">
        <v>563</v>
      </c>
    </row>
    <row r="2466" spans="1:5" x14ac:dyDescent="0.25">
      <c r="A2466" t="s">
        <v>1578</v>
      </c>
      <c r="B2466" t="str">
        <f>VLOOKUP(Counties_by_State_Code[[#This Row],[State_Code]],Territory_by_Code[],2)</f>
        <v>South Dakota</v>
      </c>
      <c r="C2466" t="s">
        <v>1582</v>
      </c>
      <c r="D2466">
        <v>34375</v>
      </c>
      <c r="E2466">
        <v>794</v>
      </c>
    </row>
    <row r="2467" spans="1:5" x14ac:dyDescent="0.25">
      <c r="A2467" t="s">
        <v>1578</v>
      </c>
      <c r="B2467" t="str">
        <f>VLOOKUP(Counties_by_State_Code[[#This Row],[State_Code]],Territory_by_Code[],2)</f>
        <v>South Dakota</v>
      </c>
      <c r="C2467" t="s">
        <v>520</v>
      </c>
      <c r="D2467">
        <v>38301</v>
      </c>
      <c r="E2467">
        <v>1713</v>
      </c>
    </row>
    <row r="2468" spans="1:5" x14ac:dyDescent="0.25">
      <c r="A2468" t="s">
        <v>1578</v>
      </c>
      <c r="B2468" t="str">
        <f>VLOOKUP(Counties_by_State_Code[[#This Row],[State_Code]],Territory_by_Code[],2)</f>
        <v>South Dakota</v>
      </c>
      <c r="C2468" t="s">
        <v>1583</v>
      </c>
      <c r="D2468">
        <v>5247</v>
      </c>
      <c r="E2468">
        <v>819</v>
      </c>
    </row>
    <row r="2469" spans="1:5" x14ac:dyDescent="0.25">
      <c r="A2469" t="s">
        <v>1578</v>
      </c>
      <c r="B2469" t="str">
        <f>VLOOKUP(Counties_by_State_Code[[#This Row],[State_Code]],Territory_by_Code[],2)</f>
        <v>South Dakota</v>
      </c>
      <c r="C2469" t="s">
        <v>1114</v>
      </c>
      <c r="D2469">
        <v>1948</v>
      </c>
      <c r="E2469">
        <v>471</v>
      </c>
    </row>
    <row r="2470" spans="1:5" x14ac:dyDescent="0.25">
      <c r="A2470" t="s">
        <v>1578</v>
      </c>
      <c r="B2470" t="str">
        <f>VLOOKUP(Counties_by_State_Code[[#This Row],[State_Code]],Territory_by_Code[],2)</f>
        <v>South Dakota</v>
      </c>
      <c r="C2470" t="s">
        <v>183</v>
      </c>
      <c r="D2470">
        <v>10243</v>
      </c>
      <c r="E2470">
        <v>2249</v>
      </c>
    </row>
    <row r="2471" spans="1:5" x14ac:dyDescent="0.25">
      <c r="A2471" t="s">
        <v>1578</v>
      </c>
      <c r="B2471" t="str">
        <f>VLOOKUP(Counties_by_State_Code[[#This Row],[State_Code]],Territory_by_Code[],2)</f>
        <v>South Dakota</v>
      </c>
      <c r="C2471" t="s">
        <v>741</v>
      </c>
      <c r="D2471">
        <v>1377</v>
      </c>
      <c r="E2471">
        <v>736</v>
      </c>
    </row>
    <row r="2472" spans="1:5" x14ac:dyDescent="0.25">
      <c r="A2472" t="s">
        <v>1578</v>
      </c>
      <c r="B2472" t="str">
        <f>VLOOKUP(Counties_by_State_Code[[#This Row],[State_Code]],Territory_by_Code[],2)</f>
        <v>South Dakota</v>
      </c>
      <c r="C2472" t="s">
        <v>1584</v>
      </c>
      <c r="D2472">
        <v>9373</v>
      </c>
      <c r="E2472">
        <v>1098</v>
      </c>
    </row>
    <row r="2473" spans="1:5" x14ac:dyDescent="0.25">
      <c r="A2473" t="s">
        <v>1578</v>
      </c>
      <c r="B2473" t="str">
        <f>VLOOKUP(Counties_by_State_Code[[#This Row],[State_Code]],Territory_by_Code[],2)</f>
        <v>South Dakota</v>
      </c>
      <c r="C2473" t="s">
        <v>130</v>
      </c>
      <c r="D2473">
        <v>3837</v>
      </c>
      <c r="E2473">
        <v>958</v>
      </c>
    </row>
    <row r="2474" spans="1:5" x14ac:dyDescent="0.25">
      <c r="A2474" t="s">
        <v>1578</v>
      </c>
      <c r="B2474" t="str">
        <f>VLOOKUP(Counties_by_State_Code[[#This Row],[State_Code]],Territory_by_Code[],2)</f>
        <v>South Dakota</v>
      </c>
      <c r="C2474" t="s">
        <v>14</v>
      </c>
      <c r="D2474">
        <v>14967</v>
      </c>
      <c r="E2474">
        <v>412</v>
      </c>
    </row>
    <row r="2475" spans="1:5" x14ac:dyDescent="0.25">
      <c r="A2475" t="s">
        <v>1578</v>
      </c>
      <c r="B2475" t="str">
        <f>VLOOKUP(Counties_by_State_Code[[#This Row],[State_Code]],Territory_by_Code[],2)</f>
        <v>South Dakota</v>
      </c>
      <c r="C2475" t="s">
        <v>1585</v>
      </c>
      <c r="D2475">
        <v>28325</v>
      </c>
      <c r="E2475">
        <v>688</v>
      </c>
    </row>
    <row r="2476" spans="1:5" x14ac:dyDescent="0.25">
      <c r="A2476" t="s">
        <v>1578</v>
      </c>
      <c r="B2476" t="str">
        <f>VLOOKUP(Counties_by_State_Code[[#This Row],[State_Code]],Territory_by_Code[],2)</f>
        <v>South Dakota</v>
      </c>
      <c r="C2476" t="s">
        <v>1586</v>
      </c>
      <c r="D2476">
        <v>3902</v>
      </c>
      <c r="E2476">
        <v>2473</v>
      </c>
    </row>
    <row r="2477" spans="1:5" x14ac:dyDescent="0.25">
      <c r="A2477" t="s">
        <v>1578</v>
      </c>
      <c r="B2477" t="str">
        <f>VLOOKUP(Counties_by_State_Code[[#This Row],[State_Code]],Territory_by_Code[],2)</f>
        <v>South Dakota</v>
      </c>
      <c r="C2477" t="s">
        <v>251</v>
      </c>
      <c r="D2477">
        <v>8318</v>
      </c>
      <c r="E2477">
        <v>1558</v>
      </c>
    </row>
    <row r="2478" spans="1:5" x14ac:dyDescent="0.25">
      <c r="A2478" t="s">
        <v>1578</v>
      </c>
      <c r="B2478" t="str">
        <f>VLOOKUP(Counties_by_State_Code[[#This Row],[State_Code]],Territory_by_Code[],2)</f>
        <v>South Dakota</v>
      </c>
      <c r="C2478" t="s">
        <v>1587</v>
      </c>
      <c r="D2478">
        <v>19956</v>
      </c>
      <c r="E2478">
        <v>436</v>
      </c>
    </row>
    <row r="2479" spans="1:5" x14ac:dyDescent="0.25">
      <c r="A2479" t="s">
        <v>1578</v>
      </c>
      <c r="B2479" t="str">
        <f>VLOOKUP(Counties_by_State_Code[[#This Row],[State_Code]],Territory_by_Code[],2)</f>
        <v>South Dakota</v>
      </c>
      <c r="C2479" t="s">
        <v>1588</v>
      </c>
      <c r="D2479">
        <v>5449</v>
      </c>
      <c r="E2479">
        <v>1029</v>
      </c>
    </row>
    <row r="2480" spans="1:5" x14ac:dyDescent="0.25">
      <c r="A2480" t="s">
        <v>1578</v>
      </c>
      <c r="B2480" t="str">
        <f>VLOOKUP(Counties_by_State_Code[[#This Row],[State_Code]],Territory_by_Code[],2)</f>
        <v>South Dakota</v>
      </c>
      <c r="C2480" t="s">
        <v>1120</v>
      </c>
      <c r="D2480">
        <v>4295</v>
      </c>
      <c r="E2480">
        <v>624</v>
      </c>
    </row>
    <row r="2481" spans="1:5" x14ac:dyDescent="0.25">
      <c r="A2481" t="s">
        <v>1578</v>
      </c>
      <c r="B2481" t="str">
        <f>VLOOKUP(Counties_by_State_Code[[#This Row],[State_Code]],Territory_by_Code[],2)</f>
        <v>South Dakota</v>
      </c>
      <c r="C2481" t="s">
        <v>1387</v>
      </c>
      <c r="D2481">
        <v>5239</v>
      </c>
      <c r="E2481">
        <v>2303</v>
      </c>
    </row>
    <row r="2482" spans="1:5" x14ac:dyDescent="0.25">
      <c r="A2482" t="s">
        <v>1578</v>
      </c>
      <c r="B2482" t="str">
        <f>VLOOKUP(Counties_by_State_Code[[#This Row],[State_Code]],Territory_by_Code[],2)</f>
        <v>South Dakota</v>
      </c>
      <c r="C2482" t="s">
        <v>255</v>
      </c>
      <c r="D2482">
        <v>2835</v>
      </c>
      <c r="E2482">
        <v>434</v>
      </c>
    </row>
    <row r="2483" spans="1:5" x14ac:dyDescent="0.25">
      <c r="A2483" t="s">
        <v>1578</v>
      </c>
      <c r="B2483" t="str">
        <f>VLOOKUP(Counties_by_State_Code[[#This Row],[State_Code]],Territory_by_Code[],2)</f>
        <v>South Dakota</v>
      </c>
      <c r="C2483" t="s">
        <v>1589</v>
      </c>
      <c r="D2483">
        <v>3986</v>
      </c>
      <c r="E2483">
        <v>1146</v>
      </c>
    </row>
    <row r="2484" spans="1:5" x14ac:dyDescent="0.25">
      <c r="A2484" t="s">
        <v>1578</v>
      </c>
      <c r="B2484" t="str">
        <f>VLOOKUP(Counties_by_State_Code[[#This Row],[State_Code]],Territory_by_Code[],2)</f>
        <v>South Dakota</v>
      </c>
      <c r="C2484" t="s">
        <v>1590</v>
      </c>
      <c r="D2484">
        <v>6973</v>
      </c>
      <c r="E2484">
        <v>1740</v>
      </c>
    </row>
    <row r="2485" spans="1:5" x14ac:dyDescent="0.25">
      <c r="A2485" t="s">
        <v>1578</v>
      </c>
      <c r="B2485" t="str">
        <f>VLOOKUP(Counties_by_State_Code[[#This Row],[State_Code]],Territory_by_Code[],2)</f>
        <v>South Dakota</v>
      </c>
      <c r="C2485" t="s">
        <v>1591</v>
      </c>
      <c r="D2485">
        <v>2125</v>
      </c>
      <c r="E2485">
        <v>1000</v>
      </c>
    </row>
    <row r="2486" spans="1:5" x14ac:dyDescent="0.25">
      <c r="A2486" t="s">
        <v>1578</v>
      </c>
      <c r="B2486" t="str">
        <f>VLOOKUP(Counties_by_State_Code[[#This Row],[State_Code]],Territory_by_Code[],2)</f>
        <v>South Dakota</v>
      </c>
      <c r="C2486" t="s">
        <v>143</v>
      </c>
      <c r="D2486">
        <v>7556</v>
      </c>
      <c r="E2486">
        <v>682</v>
      </c>
    </row>
    <row r="2487" spans="1:5" x14ac:dyDescent="0.25">
      <c r="A2487" t="s">
        <v>1578</v>
      </c>
      <c r="B2487" t="str">
        <f>VLOOKUP(Counties_by_State_Code[[#This Row],[State_Code]],Territory_by_Code[],2)</f>
        <v>South Dakota</v>
      </c>
      <c r="C2487" t="s">
        <v>1592</v>
      </c>
      <c r="D2487">
        <v>3994</v>
      </c>
      <c r="E2487">
        <v>1016</v>
      </c>
    </row>
    <row r="2488" spans="1:5" x14ac:dyDescent="0.25">
      <c r="A2488" t="s">
        <v>1578</v>
      </c>
      <c r="B2488" t="str">
        <f>VLOOKUP(Counties_by_State_Code[[#This Row],[State_Code]],Territory_by_Code[],2)</f>
        <v>South Dakota</v>
      </c>
      <c r="C2488" t="s">
        <v>1593</v>
      </c>
      <c r="D2488">
        <v>1872</v>
      </c>
      <c r="E2488">
        <v>1813</v>
      </c>
    </row>
    <row r="2489" spans="1:5" x14ac:dyDescent="0.25">
      <c r="A2489" t="s">
        <v>1578</v>
      </c>
      <c r="B2489" t="str">
        <f>VLOOKUP(Counties_by_State_Code[[#This Row],[State_Code]],Territory_by_Code[],2)</f>
        <v>South Dakota</v>
      </c>
      <c r="C2489" t="s">
        <v>1594</v>
      </c>
      <c r="D2489">
        <v>6164</v>
      </c>
      <c r="E2489">
        <v>511</v>
      </c>
    </row>
    <row r="2490" spans="1:5" x14ac:dyDescent="0.25">
      <c r="A2490" t="s">
        <v>1578</v>
      </c>
      <c r="B2490" t="str">
        <f>VLOOKUP(Counties_by_State_Code[[#This Row],[State_Code]],Territory_by_Code[],2)</f>
        <v>South Dakota</v>
      </c>
      <c r="C2490" t="s">
        <v>1595</v>
      </c>
      <c r="D2490">
        <v>3145</v>
      </c>
      <c r="E2490">
        <v>1437</v>
      </c>
    </row>
    <row r="2491" spans="1:5" x14ac:dyDescent="0.25">
      <c r="A2491" t="s">
        <v>1578</v>
      </c>
      <c r="B2491" t="str">
        <f>VLOOKUP(Counties_by_State_Code[[#This Row],[State_Code]],Territory_by_Code[],2)</f>
        <v>South Dakota</v>
      </c>
      <c r="C2491" t="s">
        <v>1596</v>
      </c>
      <c r="D2491">
        <v>3461</v>
      </c>
      <c r="E2491">
        <v>435</v>
      </c>
    </row>
    <row r="2492" spans="1:5" x14ac:dyDescent="0.25">
      <c r="A2492" t="s">
        <v>1578</v>
      </c>
      <c r="B2492" t="str">
        <f>VLOOKUP(Counties_by_State_Code[[#This Row],[State_Code]],Territory_by_Code[],2)</f>
        <v>South Dakota</v>
      </c>
      <c r="C2492" t="s">
        <v>1192</v>
      </c>
      <c r="D2492">
        <v>1311</v>
      </c>
      <c r="E2492">
        <v>2671</v>
      </c>
    </row>
    <row r="2493" spans="1:5" x14ac:dyDescent="0.25">
      <c r="A2493" t="s">
        <v>1578</v>
      </c>
      <c r="B2493" t="str">
        <f>VLOOKUP(Counties_by_State_Code[[#This Row],[State_Code]],Territory_by_Code[],2)</f>
        <v>South Dakota</v>
      </c>
      <c r="C2493" t="s">
        <v>1391</v>
      </c>
      <c r="D2493">
        <v>17765</v>
      </c>
      <c r="E2493">
        <v>741</v>
      </c>
    </row>
    <row r="2494" spans="1:5" x14ac:dyDescent="0.25">
      <c r="A2494" t="s">
        <v>1578</v>
      </c>
      <c r="B2494" t="str">
        <f>VLOOKUP(Counties_by_State_Code[[#This Row],[State_Code]],Territory_by_Code[],2)</f>
        <v>South Dakota</v>
      </c>
      <c r="C2494" t="s">
        <v>1597</v>
      </c>
      <c r="D2494">
        <v>7427</v>
      </c>
      <c r="E2494">
        <v>813</v>
      </c>
    </row>
    <row r="2495" spans="1:5" x14ac:dyDescent="0.25">
      <c r="A2495" t="s">
        <v>1578</v>
      </c>
      <c r="B2495" t="str">
        <f>VLOOKUP(Counties_by_State_Code[[#This Row],[State_Code]],Territory_by_Code[],2)</f>
        <v>South Dakota</v>
      </c>
      <c r="C2495" t="s">
        <v>1272</v>
      </c>
      <c r="D2495">
        <v>1262</v>
      </c>
      <c r="E2495">
        <v>861</v>
      </c>
    </row>
    <row r="2496" spans="1:5" x14ac:dyDescent="0.25">
      <c r="A2496" t="s">
        <v>1578</v>
      </c>
      <c r="B2496" t="str">
        <f>VLOOKUP(Counties_by_State_Code[[#This Row],[State_Code]],Territory_by_Code[],2)</f>
        <v>South Dakota</v>
      </c>
      <c r="C2496" t="s">
        <v>36</v>
      </c>
      <c r="D2496">
        <v>2806</v>
      </c>
      <c r="E2496">
        <v>1869</v>
      </c>
    </row>
    <row r="2497" spans="1:5" x14ac:dyDescent="0.25">
      <c r="A2497" t="s">
        <v>1578</v>
      </c>
      <c r="B2497" t="str">
        <f>VLOOKUP(Counties_by_State_Code[[#This Row],[State_Code]],Territory_by_Code[],2)</f>
        <v>South Dakota</v>
      </c>
      <c r="C2497" t="s">
        <v>1598</v>
      </c>
      <c r="D2497">
        <v>1663</v>
      </c>
      <c r="E2497">
        <v>530</v>
      </c>
    </row>
    <row r="2498" spans="1:5" x14ac:dyDescent="0.25">
      <c r="A2498" t="s">
        <v>1578</v>
      </c>
      <c r="B2498" t="str">
        <f>VLOOKUP(Counties_by_State_Code[[#This Row],[State_Code]],Territory_by_Code[],2)</f>
        <v>South Dakota</v>
      </c>
      <c r="C2498" t="s">
        <v>427</v>
      </c>
      <c r="D2498">
        <v>917</v>
      </c>
      <c r="E2498">
        <v>971</v>
      </c>
    </row>
    <row r="2499" spans="1:5" x14ac:dyDescent="0.25">
      <c r="A2499" t="s">
        <v>1578</v>
      </c>
      <c r="B2499" t="str">
        <f>VLOOKUP(Counties_by_State_Code[[#This Row],[State_Code]],Territory_by_Code[],2)</f>
        <v>South Dakota</v>
      </c>
      <c r="C2499" t="s">
        <v>1599</v>
      </c>
      <c r="D2499">
        <v>5187</v>
      </c>
      <c r="E2499">
        <v>838</v>
      </c>
    </row>
    <row r="2500" spans="1:5" x14ac:dyDescent="0.25">
      <c r="A2500" t="s">
        <v>1578</v>
      </c>
      <c r="B2500" t="str">
        <f>VLOOKUP(Counties_by_State_Code[[#This Row],[State_Code]],Territory_by_Code[],2)</f>
        <v>South Dakota</v>
      </c>
      <c r="C2500" t="s">
        <v>196</v>
      </c>
      <c r="D2500">
        <v>11059</v>
      </c>
      <c r="E2500">
        <v>563</v>
      </c>
    </row>
    <row r="2501" spans="1:5" x14ac:dyDescent="0.25">
      <c r="A2501" t="s">
        <v>1578</v>
      </c>
      <c r="B2501" t="str">
        <f>VLOOKUP(Counties_by_State_Code[[#This Row],[State_Code]],Territory_by_Code[],2)</f>
        <v>South Dakota</v>
      </c>
      <c r="C2501" t="s">
        <v>40</v>
      </c>
      <c r="D2501">
        <v>25768</v>
      </c>
      <c r="E2501">
        <v>800</v>
      </c>
    </row>
    <row r="2502" spans="1:5" x14ac:dyDescent="0.25">
      <c r="A2502" t="s">
        <v>1578</v>
      </c>
      <c r="B2502" t="str">
        <f>VLOOKUP(Counties_by_State_Code[[#This Row],[State_Code]],Territory_by_Code[],2)</f>
        <v>South Dakota</v>
      </c>
      <c r="C2502" t="s">
        <v>151</v>
      </c>
      <c r="D2502">
        <v>65161</v>
      </c>
      <c r="E2502">
        <v>578</v>
      </c>
    </row>
    <row r="2503" spans="1:5" x14ac:dyDescent="0.25">
      <c r="A2503" t="s">
        <v>1578</v>
      </c>
      <c r="B2503" t="str">
        <f>VLOOKUP(Counties_by_State_Code[[#This Row],[State_Code]],Territory_by_Code[],2)</f>
        <v>South Dakota</v>
      </c>
      <c r="C2503" t="s">
        <v>1600</v>
      </c>
      <c r="D2503">
        <v>3718</v>
      </c>
      <c r="E2503">
        <v>1640</v>
      </c>
    </row>
    <row r="2504" spans="1:5" x14ac:dyDescent="0.25">
      <c r="A2504" t="s">
        <v>1578</v>
      </c>
      <c r="B2504" t="str">
        <f>VLOOKUP(Counties_by_State_Code[[#This Row],[State_Code]],Territory_by_Code[],2)</f>
        <v>South Dakota</v>
      </c>
      <c r="C2504" t="s">
        <v>48</v>
      </c>
      <c r="D2504">
        <v>4306</v>
      </c>
      <c r="E2504">
        <v>1137</v>
      </c>
    </row>
    <row r="2505" spans="1:5" x14ac:dyDescent="0.25">
      <c r="A2505" t="s">
        <v>1578</v>
      </c>
      <c r="B2505" t="str">
        <f>VLOOKUP(Counties_by_State_Code[[#This Row],[State_Code]],Territory_by_Code[],2)</f>
        <v>South Dakota</v>
      </c>
      <c r="C2505" t="s">
        <v>1601</v>
      </c>
      <c r="D2505">
        <v>5682</v>
      </c>
      <c r="E2505">
        <v>839</v>
      </c>
    </row>
    <row r="2506" spans="1:5" x14ac:dyDescent="0.25">
      <c r="A2506" t="s">
        <v>1578</v>
      </c>
      <c r="B2506" t="str">
        <f>VLOOKUP(Counties_by_State_Code[[#This Row],[State_Code]],Territory_by_Code[],2)</f>
        <v>South Dakota</v>
      </c>
      <c r="C2506" t="s">
        <v>692</v>
      </c>
      <c r="D2506">
        <v>2411</v>
      </c>
      <c r="E2506">
        <v>575</v>
      </c>
    </row>
    <row r="2507" spans="1:5" x14ac:dyDescent="0.25">
      <c r="A2507" t="s">
        <v>1578</v>
      </c>
      <c r="B2507" t="str">
        <f>VLOOKUP(Counties_by_State_Code[[#This Row],[State_Code]],Territory_by_Code[],2)</f>
        <v>South Dakota</v>
      </c>
      <c r="C2507" t="s">
        <v>693</v>
      </c>
      <c r="D2507">
        <v>29852</v>
      </c>
      <c r="E2507">
        <v>3471</v>
      </c>
    </row>
    <row r="2508" spans="1:5" x14ac:dyDescent="0.25">
      <c r="A2508" t="s">
        <v>1578</v>
      </c>
      <c r="B2508" t="str">
        <f>VLOOKUP(Counties_by_State_Code[[#This Row],[State_Code]],Territory_by_Code[],2)</f>
        <v>South Dakota</v>
      </c>
      <c r="C2508" t="s">
        <v>1602</v>
      </c>
      <c r="D2508">
        <v>1918</v>
      </c>
      <c r="E2508">
        <v>1307</v>
      </c>
    </row>
    <row r="2509" spans="1:5" x14ac:dyDescent="0.25">
      <c r="A2509" t="s">
        <v>1578</v>
      </c>
      <c r="B2509" t="str">
        <f>VLOOKUP(Counties_by_State_Code[[#This Row],[State_Code]],Territory_by_Code[],2)</f>
        <v>South Dakota</v>
      </c>
      <c r="C2509" t="s">
        <v>1603</v>
      </c>
      <c r="D2509">
        <v>2298</v>
      </c>
      <c r="E2509">
        <v>570</v>
      </c>
    </row>
    <row r="2510" spans="1:5" x14ac:dyDescent="0.25">
      <c r="A2510" t="s">
        <v>1578</v>
      </c>
      <c r="B2510" t="str">
        <f>VLOOKUP(Counties_by_State_Code[[#This Row],[State_Code]],Territory_by_Code[],2)</f>
        <v>South Dakota</v>
      </c>
      <c r="C2510" t="s">
        <v>1604</v>
      </c>
      <c r="D2510">
        <v>197214</v>
      </c>
      <c r="E2510">
        <v>809</v>
      </c>
    </row>
    <row r="2511" spans="1:5" x14ac:dyDescent="0.25">
      <c r="A2511" t="s">
        <v>1578</v>
      </c>
      <c r="B2511" t="str">
        <f>VLOOKUP(Counties_by_State_Code[[#This Row],[State_Code]],Territory_by_Code[],2)</f>
        <v>South Dakota</v>
      </c>
      <c r="C2511" t="s">
        <v>1605</v>
      </c>
      <c r="D2511">
        <v>6336</v>
      </c>
      <c r="E2511">
        <v>520</v>
      </c>
    </row>
    <row r="2512" spans="1:5" x14ac:dyDescent="0.25">
      <c r="A2512" t="s">
        <v>1578</v>
      </c>
      <c r="B2512" t="str">
        <f>VLOOKUP(Counties_by_State_Code[[#This Row],[State_Code]],Territory_by_Code[],2)</f>
        <v>South Dakota</v>
      </c>
      <c r="C2512" t="s">
        <v>1606</v>
      </c>
      <c r="D2512">
        <v>13672</v>
      </c>
      <c r="E2512">
        <v>2094</v>
      </c>
    </row>
    <row r="2513" spans="1:5" x14ac:dyDescent="0.25">
      <c r="A2513" t="s">
        <v>1578</v>
      </c>
      <c r="B2513" t="str">
        <f>VLOOKUP(Counties_by_State_Code[[#This Row],[State_Code]],Territory_by_Code[],2)</f>
        <v>South Dakota</v>
      </c>
      <c r="C2513" t="s">
        <v>974</v>
      </c>
      <c r="D2513">
        <v>109222</v>
      </c>
      <c r="E2513">
        <v>2776</v>
      </c>
    </row>
    <row r="2514" spans="1:5" x14ac:dyDescent="0.25">
      <c r="A2514" t="s">
        <v>1578</v>
      </c>
      <c r="B2514" t="str">
        <f>VLOOKUP(Counties_by_State_Code[[#This Row],[State_Code]],Territory_by_Code[],2)</f>
        <v>South Dakota</v>
      </c>
      <c r="C2514" t="s">
        <v>1142</v>
      </c>
      <c r="D2514">
        <v>2835</v>
      </c>
      <c r="E2514">
        <v>2872</v>
      </c>
    </row>
    <row r="2515" spans="1:5" x14ac:dyDescent="0.25">
      <c r="A2515" t="s">
        <v>1578</v>
      </c>
      <c r="B2515" t="str">
        <f>VLOOKUP(Counties_by_State_Code[[#This Row],[State_Code]],Territory_by_Code[],2)</f>
        <v>South Dakota</v>
      </c>
      <c r="C2515" t="s">
        <v>1462</v>
      </c>
      <c r="D2515">
        <v>2472</v>
      </c>
      <c r="E2515">
        <v>866</v>
      </c>
    </row>
    <row r="2516" spans="1:5" x14ac:dyDescent="0.25">
      <c r="A2516" t="s">
        <v>1578</v>
      </c>
      <c r="B2516" t="str">
        <f>VLOOKUP(Counties_by_State_Code[[#This Row],[State_Code]],Territory_by_Code[],2)</f>
        <v>South Dakota</v>
      </c>
      <c r="C2516" t="s">
        <v>1607</v>
      </c>
      <c r="D2516">
        <v>10280</v>
      </c>
      <c r="E2516">
        <v>1101</v>
      </c>
    </row>
    <row r="2517" spans="1:5" x14ac:dyDescent="0.25">
      <c r="A2517" t="s">
        <v>1578</v>
      </c>
      <c r="B2517" t="str">
        <f>VLOOKUP(Counties_by_State_Code[[#This Row],[State_Code]],Territory_by_Code[],2)</f>
        <v>South Dakota</v>
      </c>
      <c r="C2517" t="s">
        <v>1608</v>
      </c>
      <c r="D2517">
        <v>2330</v>
      </c>
      <c r="E2517">
        <v>569</v>
      </c>
    </row>
    <row r="2518" spans="1:5" x14ac:dyDescent="0.25">
      <c r="A2518" t="s">
        <v>1578</v>
      </c>
      <c r="B2518" t="str">
        <f>VLOOKUP(Counties_by_State_Code[[#This Row],[State_Code]],Territory_by_Code[],2)</f>
        <v>South Dakota</v>
      </c>
      <c r="C2518" t="s">
        <v>1609</v>
      </c>
      <c r="D2518">
        <v>6361</v>
      </c>
      <c r="E2518">
        <v>1504</v>
      </c>
    </row>
    <row r="2519" spans="1:5" x14ac:dyDescent="0.25">
      <c r="A2519" t="s">
        <v>1578</v>
      </c>
      <c r="B2519" t="str">
        <f>VLOOKUP(Counties_by_State_Code[[#This Row],[State_Code]],Territory_by_Code[],2)</f>
        <v>South Dakota</v>
      </c>
      <c r="C2519" t="s">
        <v>1610</v>
      </c>
      <c r="D2519">
        <v>2980</v>
      </c>
      <c r="E2519">
        <v>1443</v>
      </c>
    </row>
    <row r="2520" spans="1:5" x14ac:dyDescent="0.25">
      <c r="A2520" t="s">
        <v>1578</v>
      </c>
      <c r="B2520" t="str">
        <f>VLOOKUP(Counties_by_State_Code[[#This Row],[State_Code]],Territory_by_Code[],2)</f>
        <v>South Dakota</v>
      </c>
      <c r="C2520" t="s">
        <v>1611</v>
      </c>
      <c r="D2520">
        <v>1446</v>
      </c>
      <c r="E2520">
        <v>1007</v>
      </c>
    </row>
    <row r="2521" spans="1:5" x14ac:dyDescent="0.25">
      <c r="A2521" t="s">
        <v>1578</v>
      </c>
      <c r="B2521" t="str">
        <f>VLOOKUP(Counties_by_State_Code[[#This Row],[State_Code]],Territory_by_Code[],2)</f>
        <v>South Dakota</v>
      </c>
      <c r="C2521" t="s">
        <v>780</v>
      </c>
      <c r="D2521">
        <v>9319</v>
      </c>
      <c r="E2521">
        <v>1388</v>
      </c>
    </row>
    <row r="2522" spans="1:5" x14ac:dyDescent="0.25">
      <c r="A2522" t="s">
        <v>1578</v>
      </c>
      <c r="B2522" t="str">
        <f>VLOOKUP(Counties_by_State_Code[[#This Row],[State_Code]],Territory_by_Code[],2)</f>
        <v>South Dakota</v>
      </c>
      <c r="C2522" t="s">
        <v>1612</v>
      </c>
      <c r="D2522">
        <v>5624</v>
      </c>
      <c r="E2522">
        <v>1614</v>
      </c>
    </row>
    <row r="2523" spans="1:5" x14ac:dyDescent="0.25">
      <c r="A2523" t="s">
        <v>1578</v>
      </c>
      <c r="B2523" t="str">
        <f>VLOOKUP(Counties_by_State_Code[[#This Row],[State_Code]],Territory_by_Code[],2)</f>
        <v>South Dakota</v>
      </c>
      <c r="C2523" t="s">
        <v>463</v>
      </c>
      <c r="D2523">
        <v>8673</v>
      </c>
      <c r="E2523">
        <v>617</v>
      </c>
    </row>
    <row r="2524" spans="1:5" x14ac:dyDescent="0.25">
      <c r="A2524" t="s">
        <v>1578</v>
      </c>
      <c r="B2524" t="str">
        <f>VLOOKUP(Counties_by_State_Code[[#This Row],[State_Code]],Territory_by_Code[],2)</f>
        <v>South Dakota</v>
      </c>
      <c r="C2524" t="s">
        <v>174</v>
      </c>
      <c r="D2524">
        <v>16811</v>
      </c>
      <c r="E2524">
        <v>460</v>
      </c>
    </row>
    <row r="2525" spans="1:5" x14ac:dyDescent="0.25">
      <c r="A2525" t="s">
        <v>1578</v>
      </c>
      <c r="B2525" t="str">
        <f>VLOOKUP(Counties_by_State_Code[[#This Row],[State_Code]],Territory_by_Code[],2)</f>
        <v>South Dakota</v>
      </c>
      <c r="C2525" t="s">
        <v>1613</v>
      </c>
      <c r="D2525">
        <v>5315</v>
      </c>
      <c r="E2525">
        <v>708</v>
      </c>
    </row>
    <row r="2526" spans="1:5" x14ac:dyDescent="0.25">
      <c r="A2526" t="s">
        <v>1578</v>
      </c>
      <c r="B2526" t="str">
        <f>VLOOKUP(Counties_by_State_Code[[#This Row],[State_Code]],Territory_by_Code[],2)</f>
        <v>South Dakota</v>
      </c>
      <c r="C2526" t="s">
        <v>1614</v>
      </c>
      <c r="D2526">
        <v>23310</v>
      </c>
      <c r="E2526">
        <v>522</v>
      </c>
    </row>
    <row r="2527" spans="1:5" x14ac:dyDescent="0.25">
      <c r="A2527" t="s">
        <v>1578</v>
      </c>
      <c r="B2527" t="str">
        <f>VLOOKUP(Counties_by_State_Code[[#This Row],[State_Code]],Territory_by_Code[],2)</f>
        <v>South Dakota</v>
      </c>
      <c r="C2527" t="s">
        <v>1615</v>
      </c>
      <c r="D2527">
        <v>2413</v>
      </c>
      <c r="E2527">
        <v>1962</v>
      </c>
    </row>
    <row r="2528" spans="1:5" x14ac:dyDescent="0.25">
      <c r="A2528" t="s">
        <v>1616</v>
      </c>
      <c r="B2528" t="str">
        <f>VLOOKUP(Counties_by_State_Code[[#This Row],[State_Code]],Territory_by_Code[],2)</f>
        <v>Tennessee</v>
      </c>
      <c r="C2528" t="s">
        <v>661</v>
      </c>
      <c r="D2528">
        <v>77123</v>
      </c>
      <c r="E2528">
        <v>338</v>
      </c>
    </row>
    <row r="2529" spans="1:5" x14ac:dyDescent="0.25">
      <c r="A2529" t="s">
        <v>1616</v>
      </c>
      <c r="B2529" t="str">
        <f>VLOOKUP(Counties_by_State_Code[[#This Row],[State_Code]],Territory_by_Code[],2)</f>
        <v>Tennessee</v>
      </c>
      <c r="C2529" t="s">
        <v>1438</v>
      </c>
      <c r="D2529">
        <v>50237</v>
      </c>
      <c r="E2529">
        <v>474</v>
      </c>
    </row>
    <row r="2530" spans="1:5" x14ac:dyDescent="0.25">
      <c r="A2530" t="s">
        <v>1616</v>
      </c>
      <c r="B2530" t="str">
        <f>VLOOKUP(Counties_by_State_Code[[#This Row],[State_Code]],Territory_by_Code[],2)</f>
        <v>Tennessee</v>
      </c>
      <c r="C2530" t="s">
        <v>125</v>
      </c>
      <c r="D2530">
        <v>15864</v>
      </c>
      <c r="E2530">
        <v>394</v>
      </c>
    </row>
    <row r="2531" spans="1:5" x14ac:dyDescent="0.25">
      <c r="A2531" t="s">
        <v>1616</v>
      </c>
      <c r="B2531" t="str">
        <f>VLOOKUP(Counties_by_State_Code[[#This Row],[State_Code]],Territory_by_Code[],2)</f>
        <v>Tennessee</v>
      </c>
      <c r="C2531" t="s">
        <v>1617</v>
      </c>
      <c r="D2531">
        <v>14913</v>
      </c>
      <c r="E2531">
        <v>406</v>
      </c>
    </row>
    <row r="2532" spans="1:5" x14ac:dyDescent="0.25">
      <c r="A2532" t="s">
        <v>1616</v>
      </c>
      <c r="B2532" t="str">
        <f>VLOOKUP(Counties_by_State_Code[[#This Row],[State_Code]],Territory_by_Code[],2)</f>
        <v>Tennessee</v>
      </c>
      <c r="C2532" t="s">
        <v>5</v>
      </c>
      <c r="D2532">
        <v>135280</v>
      </c>
      <c r="E2532">
        <v>559</v>
      </c>
    </row>
    <row r="2533" spans="1:5" x14ac:dyDescent="0.25">
      <c r="A2533" t="s">
        <v>1616</v>
      </c>
      <c r="B2533" t="str">
        <f>VLOOKUP(Counties_by_State_Code[[#This Row],[State_Code]],Territory_by_Code[],2)</f>
        <v>Tennessee</v>
      </c>
      <c r="C2533" t="s">
        <v>127</v>
      </c>
      <c r="D2533">
        <v>108620</v>
      </c>
      <c r="E2533">
        <v>329</v>
      </c>
    </row>
    <row r="2534" spans="1:5" x14ac:dyDescent="0.25">
      <c r="A2534" t="s">
        <v>1616</v>
      </c>
      <c r="B2534" t="str">
        <f>VLOOKUP(Counties_by_State_Code[[#This Row],[State_Code]],Territory_by_Code[],2)</f>
        <v>Tennessee</v>
      </c>
      <c r="C2534" t="s">
        <v>741</v>
      </c>
      <c r="D2534">
        <v>39272</v>
      </c>
      <c r="E2534">
        <v>480</v>
      </c>
    </row>
    <row r="2535" spans="1:5" x14ac:dyDescent="0.25">
      <c r="A2535" t="s">
        <v>1616</v>
      </c>
      <c r="B2535" t="str">
        <f>VLOOKUP(Counties_by_State_Code[[#This Row],[State_Code]],Territory_by_Code[],2)</f>
        <v>Tennessee</v>
      </c>
      <c r="C2535" t="s">
        <v>1618</v>
      </c>
      <c r="D2535">
        <v>14506</v>
      </c>
      <c r="E2535">
        <v>266</v>
      </c>
    </row>
    <row r="2536" spans="1:5" x14ac:dyDescent="0.25">
      <c r="A2536" t="s">
        <v>1616</v>
      </c>
      <c r="B2536" t="str">
        <f>VLOOKUP(Counties_by_State_Code[[#This Row],[State_Code]],Territory_by_Code[],2)</f>
        <v>Tennessee</v>
      </c>
      <c r="C2536" t="s">
        <v>128</v>
      </c>
      <c r="D2536">
        <v>28440</v>
      </c>
      <c r="E2536">
        <v>599</v>
      </c>
    </row>
    <row r="2537" spans="1:5" x14ac:dyDescent="0.25">
      <c r="A2537" t="s">
        <v>1616</v>
      </c>
      <c r="B2537" t="str">
        <f>VLOOKUP(Counties_by_State_Code[[#This Row],[State_Code]],Territory_by_Code[],2)</f>
        <v>Tennessee</v>
      </c>
      <c r="C2537" t="s">
        <v>743</v>
      </c>
      <c r="D2537">
        <v>56356</v>
      </c>
      <c r="E2537">
        <v>341</v>
      </c>
    </row>
    <row r="2538" spans="1:5" x14ac:dyDescent="0.25">
      <c r="A2538" t="s">
        <v>1616</v>
      </c>
      <c r="B2538" t="str">
        <f>VLOOKUP(Counties_by_State_Code[[#This Row],[State_Code]],Territory_by_Code[],2)</f>
        <v>Tennessee</v>
      </c>
      <c r="C2538" t="s">
        <v>1619</v>
      </c>
      <c r="D2538">
        <v>41072</v>
      </c>
      <c r="E2538">
        <v>303</v>
      </c>
    </row>
    <row r="2539" spans="1:5" x14ac:dyDescent="0.25">
      <c r="A2539" t="s">
        <v>1616</v>
      </c>
      <c r="B2539" t="str">
        <f>VLOOKUP(Counties_by_State_Code[[#This Row],[State_Code]],Territory_by_Code[],2)</f>
        <v>Tennessee</v>
      </c>
      <c r="C2539" t="s">
        <v>1444</v>
      </c>
      <c r="D2539">
        <v>17341</v>
      </c>
      <c r="E2539">
        <v>289</v>
      </c>
    </row>
    <row r="2540" spans="1:5" x14ac:dyDescent="0.25">
      <c r="A2540" t="s">
        <v>1616</v>
      </c>
      <c r="B2540" t="str">
        <f>VLOOKUP(Counties_by_State_Code[[#This Row],[State_Code]],Territory_by_Code[],2)</f>
        <v>Tennessee</v>
      </c>
      <c r="C2540" t="s">
        <v>796</v>
      </c>
      <c r="D2540">
        <v>32043</v>
      </c>
      <c r="E2540">
        <v>434</v>
      </c>
    </row>
    <row r="2541" spans="1:5" x14ac:dyDescent="0.25">
      <c r="A2541" t="s">
        <v>1616</v>
      </c>
      <c r="B2541" t="str">
        <f>VLOOKUP(Counties_by_State_Code[[#This Row],[State_Code]],Territory_by_Code[],2)</f>
        <v>Tennessee</v>
      </c>
      <c r="C2541" t="s">
        <v>14</v>
      </c>
      <c r="D2541">
        <v>7581</v>
      </c>
      <c r="E2541">
        <v>236</v>
      </c>
    </row>
    <row r="2542" spans="1:5" x14ac:dyDescent="0.25">
      <c r="A2542" t="s">
        <v>1616</v>
      </c>
      <c r="B2542" t="str">
        <f>VLOOKUP(Counties_by_State_Code[[#This Row],[State_Code]],Territory_by_Code[],2)</f>
        <v>Tennessee</v>
      </c>
      <c r="C2542" t="s">
        <v>1620</v>
      </c>
      <c r="D2542">
        <v>35999</v>
      </c>
      <c r="E2542">
        <v>434</v>
      </c>
    </row>
    <row r="2543" spans="1:5" x14ac:dyDescent="0.25">
      <c r="A2543" t="s">
        <v>1616</v>
      </c>
      <c r="B2543" t="str">
        <f>VLOOKUP(Counties_by_State_Code[[#This Row],[State_Code]],Territory_by_Code[],2)</f>
        <v>Tennessee</v>
      </c>
      <c r="C2543" t="s">
        <v>16</v>
      </c>
      <c r="D2543">
        <v>57889</v>
      </c>
      <c r="E2543">
        <v>429</v>
      </c>
    </row>
    <row r="2544" spans="1:5" x14ac:dyDescent="0.25">
      <c r="A2544" t="s">
        <v>1616</v>
      </c>
      <c r="B2544" t="str">
        <f>VLOOKUP(Counties_by_State_Code[[#This Row],[State_Code]],Territory_by_Code[],2)</f>
        <v>Tennessee</v>
      </c>
      <c r="C2544" t="s">
        <v>1621</v>
      </c>
      <c r="D2544">
        <v>13911</v>
      </c>
      <c r="E2544">
        <v>265</v>
      </c>
    </row>
    <row r="2545" spans="1:5" x14ac:dyDescent="0.25">
      <c r="A2545" t="s">
        <v>1616</v>
      </c>
      <c r="B2545" t="str">
        <f>VLOOKUP(Counties_by_State_Code[[#This Row],[State_Code]],Territory_by_Code[],2)</f>
        <v>Tennessee</v>
      </c>
      <c r="C2545" t="s">
        <v>527</v>
      </c>
      <c r="D2545">
        <v>61145</v>
      </c>
      <c r="E2545">
        <v>682</v>
      </c>
    </row>
    <row r="2546" spans="1:5" x14ac:dyDescent="0.25">
      <c r="A2546" t="s">
        <v>1616</v>
      </c>
      <c r="B2546" t="str">
        <f>VLOOKUP(Counties_by_State_Code[[#This Row],[State_Code]],Territory_by_Code[],2)</f>
        <v>Tennessee</v>
      </c>
      <c r="C2546" t="s">
        <v>1258</v>
      </c>
      <c r="D2546">
        <v>715884</v>
      </c>
      <c r="E2546">
        <v>502</v>
      </c>
    </row>
    <row r="2547" spans="1:5" x14ac:dyDescent="0.25">
      <c r="A2547" t="s">
        <v>1616</v>
      </c>
      <c r="B2547" t="str">
        <f>VLOOKUP(Counties_by_State_Code[[#This Row],[State_Code]],Territory_by_Code[],2)</f>
        <v>Tennessee</v>
      </c>
      <c r="C2547" t="s">
        <v>398</v>
      </c>
      <c r="D2547">
        <v>11435</v>
      </c>
      <c r="E2547">
        <v>333</v>
      </c>
    </row>
    <row r="2548" spans="1:5" x14ac:dyDescent="0.25">
      <c r="A2548" t="s">
        <v>1616</v>
      </c>
      <c r="B2548" t="str">
        <f>VLOOKUP(Counties_by_State_Code[[#This Row],[State_Code]],Territory_by_Code[],2)</f>
        <v>Tennessee</v>
      </c>
      <c r="C2548" t="s">
        <v>25</v>
      </c>
      <c r="D2548">
        <v>20080</v>
      </c>
      <c r="E2548">
        <v>304</v>
      </c>
    </row>
    <row r="2549" spans="1:5" x14ac:dyDescent="0.25">
      <c r="A2549" t="s">
        <v>1616</v>
      </c>
      <c r="B2549" t="str">
        <f>VLOOKUP(Counties_by_State_Code[[#This Row],[State_Code]],Territory_by_Code[],2)</f>
        <v>Tennessee</v>
      </c>
      <c r="C2549" t="s">
        <v>1622</v>
      </c>
      <c r="D2549">
        <v>54315</v>
      </c>
      <c r="E2549">
        <v>490</v>
      </c>
    </row>
    <row r="2550" spans="1:5" x14ac:dyDescent="0.25">
      <c r="A2550" t="s">
        <v>1616</v>
      </c>
      <c r="B2550" t="str">
        <f>VLOOKUP(Counties_by_State_Code[[#This Row],[State_Code]],Territory_by_Code[],2)</f>
        <v>Tennessee</v>
      </c>
      <c r="C2550" t="s">
        <v>1623</v>
      </c>
      <c r="D2550">
        <v>36801</v>
      </c>
      <c r="E2550">
        <v>510</v>
      </c>
    </row>
    <row r="2551" spans="1:5" x14ac:dyDescent="0.25">
      <c r="A2551" t="s">
        <v>1616</v>
      </c>
      <c r="B2551" t="str">
        <f>VLOOKUP(Counties_by_State_Code[[#This Row],[State_Code]],Territory_by_Code[],2)</f>
        <v>Tennessee</v>
      </c>
      <c r="C2551" t="s">
        <v>29</v>
      </c>
      <c r="D2551">
        <v>41990</v>
      </c>
      <c r="E2551">
        <v>705</v>
      </c>
    </row>
    <row r="2552" spans="1:5" x14ac:dyDescent="0.25">
      <c r="A2552" t="s">
        <v>1616</v>
      </c>
      <c r="B2552" t="str">
        <f>VLOOKUP(Counties_by_State_Code[[#This Row],[State_Code]],Territory_by_Code[],2)</f>
        <v>Tennessee</v>
      </c>
      <c r="C2552" t="s">
        <v>1624</v>
      </c>
      <c r="D2552">
        <v>18489</v>
      </c>
      <c r="E2552">
        <v>499</v>
      </c>
    </row>
    <row r="2553" spans="1:5" x14ac:dyDescent="0.25">
      <c r="A2553" t="s">
        <v>1616</v>
      </c>
      <c r="B2553" t="str">
        <f>VLOOKUP(Counties_by_State_Code[[#This Row],[State_Code]],Territory_by_Code[],2)</f>
        <v>Tennessee</v>
      </c>
      <c r="C2553" t="s">
        <v>30</v>
      </c>
      <c r="D2553">
        <v>42774</v>
      </c>
      <c r="E2553">
        <v>553</v>
      </c>
    </row>
    <row r="2554" spans="1:5" x14ac:dyDescent="0.25">
      <c r="A2554" t="s">
        <v>1616</v>
      </c>
      <c r="B2554" t="str">
        <f>VLOOKUP(Counties_by_State_Code[[#This Row],[State_Code]],Territory_by_Code[],2)</f>
        <v>Tennessee</v>
      </c>
      <c r="C2554" t="s">
        <v>582</v>
      </c>
      <c r="D2554">
        <v>50429</v>
      </c>
      <c r="E2554">
        <v>603</v>
      </c>
    </row>
    <row r="2555" spans="1:5" x14ac:dyDescent="0.25">
      <c r="A2555" t="s">
        <v>1616</v>
      </c>
      <c r="B2555" t="str">
        <f>VLOOKUP(Counties_by_State_Code[[#This Row],[State_Code]],Territory_by_Code[],2)</f>
        <v>Tennessee</v>
      </c>
      <c r="C2555" t="s">
        <v>1625</v>
      </c>
      <c r="D2555">
        <v>30346</v>
      </c>
      <c r="E2555">
        <v>611</v>
      </c>
    </row>
    <row r="2556" spans="1:5" x14ac:dyDescent="0.25">
      <c r="A2556" t="s">
        <v>1616</v>
      </c>
      <c r="B2556" t="str">
        <f>VLOOKUP(Counties_by_State_Code[[#This Row],[State_Code]],Territory_by_Code[],2)</f>
        <v>Tennessee</v>
      </c>
      <c r="C2556" t="s">
        <v>1626</v>
      </c>
      <c r="D2556">
        <v>23527</v>
      </c>
      <c r="E2556">
        <v>280</v>
      </c>
    </row>
    <row r="2557" spans="1:5" x14ac:dyDescent="0.25">
      <c r="A2557" t="s">
        <v>1616</v>
      </c>
      <c r="B2557" t="str">
        <f>VLOOKUP(Counties_by_State_Code[[#This Row],[State_Code]],Territory_by_Code[],2)</f>
        <v>Tennessee</v>
      </c>
      <c r="C2557" t="s">
        <v>32</v>
      </c>
      <c r="D2557">
        <v>70152</v>
      </c>
      <c r="E2557">
        <v>622</v>
      </c>
    </row>
    <row r="2558" spans="1:5" x14ac:dyDescent="0.25">
      <c r="A2558" t="s">
        <v>1616</v>
      </c>
      <c r="B2558" t="str">
        <f>VLOOKUP(Counties_by_State_Code[[#This Row],[State_Code]],Territory_by_Code[],2)</f>
        <v>Tennessee</v>
      </c>
      <c r="C2558" t="s">
        <v>534</v>
      </c>
      <c r="D2558">
        <v>13529</v>
      </c>
      <c r="E2558">
        <v>361</v>
      </c>
    </row>
    <row r="2559" spans="1:5" x14ac:dyDescent="0.25">
      <c r="A2559" t="s">
        <v>1616</v>
      </c>
      <c r="B2559" t="str">
        <f>VLOOKUP(Counties_by_State_Code[[#This Row],[State_Code]],Territory_by_Code[],2)</f>
        <v>Tennessee</v>
      </c>
      <c r="C2559" t="s">
        <v>1627</v>
      </c>
      <c r="D2559">
        <v>64499</v>
      </c>
      <c r="E2559">
        <v>161</v>
      </c>
    </row>
    <row r="2560" spans="1:5" x14ac:dyDescent="0.25">
      <c r="A2560" t="s">
        <v>1616</v>
      </c>
      <c r="B2560" t="str">
        <f>VLOOKUP(Counties_by_State_Code[[#This Row],[State_Code]],Territory_by_Code[],2)</f>
        <v>Tennessee</v>
      </c>
      <c r="C2560" t="s">
        <v>334</v>
      </c>
      <c r="D2560">
        <v>366207</v>
      </c>
      <c r="E2560">
        <v>543</v>
      </c>
    </row>
    <row r="2561" spans="1:5" x14ac:dyDescent="0.25">
      <c r="A2561" t="s">
        <v>1616</v>
      </c>
      <c r="B2561" t="str">
        <f>VLOOKUP(Counties_by_State_Code[[#This Row],[State_Code]],Territory_by_Code[],2)</f>
        <v>Tennessee</v>
      </c>
      <c r="C2561" t="s">
        <v>418</v>
      </c>
      <c r="D2561">
        <v>6662</v>
      </c>
      <c r="E2561">
        <v>222</v>
      </c>
    </row>
    <row r="2562" spans="1:5" x14ac:dyDescent="0.25">
      <c r="A2562" t="s">
        <v>1616</v>
      </c>
      <c r="B2562" t="str">
        <f>VLOOKUP(Counties_by_State_Code[[#This Row],[State_Code]],Territory_by_Code[],2)</f>
        <v>Tennessee</v>
      </c>
      <c r="C2562" t="s">
        <v>1628</v>
      </c>
      <c r="D2562">
        <v>25462</v>
      </c>
      <c r="E2562">
        <v>668</v>
      </c>
    </row>
    <row r="2563" spans="1:5" x14ac:dyDescent="0.25">
      <c r="A2563" t="s">
        <v>1616</v>
      </c>
      <c r="B2563" t="str">
        <f>VLOOKUP(Counties_by_State_Code[[#This Row],[State_Code]],Territory_by_Code[],2)</f>
        <v>Tennessee</v>
      </c>
      <c r="C2563" t="s">
        <v>535</v>
      </c>
      <c r="D2563">
        <v>26831</v>
      </c>
      <c r="E2563">
        <v>578</v>
      </c>
    </row>
    <row r="2564" spans="1:5" x14ac:dyDescent="0.25">
      <c r="A2564" t="s">
        <v>1616</v>
      </c>
      <c r="B2564" t="str">
        <f>VLOOKUP(Counties_by_State_Code[[#This Row],[State_Code]],Territory_by_Code[],2)</f>
        <v>Tennessee</v>
      </c>
      <c r="C2564" t="s">
        <v>1629</v>
      </c>
      <c r="D2564">
        <v>56721</v>
      </c>
      <c r="E2564">
        <v>487</v>
      </c>
    </row>
    <row r="2565" spans="1:5" x14ac:dyDescent="0.25">
      <c r="A2565" t="s">
        <v>1616</v>
      </c>
      <c r="B2565" t="str">
        <f>VLOOKUP(Counties_by_State_Code[[#This Row],[State_Code]],Territory_by_Code[],2)</f>
        <v>Tennessee</v>
      </c>
      <c r="C2565" t="s">
        <v>1269</v>
      </c>
      <c r="D2565">
        <v>17864</v>
      </c>
      <c r="E2565">
        <v>533</v>
      </c>
    </row>
    <row r="2566" spans="1:5" x14ac:dyDescent="0.25">
      <c r="A2566" t="s">
        <v>1616</v>
      </c>
      <c r="B2566" t="str">
        <f>VLOOKUP(Counties_by_State_Code[[#This Row],[State_Code]],Territory_by_Code[],2)</f>
        <v>Tennessee</v>
      </c>
      <c r="C2566" t="s">
        <v>536</v>
      </c>
      <c r="D2566">
        <v>27842</v>
      </c>
      <c r="E2566">
        <v>520</v>
      </c>
    </row>
    <row r="2567" spans="1:5" x14ac:dyDescent="0.25">
      <c r="A2567" t="s">
        <v>1616</v>
      </c>
      <c r="B2567" t="str">
        <f>VLOOKUP(Counties_by_State_Code[[#This Row],[State_Code]],Territory_by_Code[],2)</f>
        <v>Tennessee</v>
      </c>
      <c r="C2567" t="s">
        <v>34</v>
      </c>
      <c r="D2567">
        <v>32199</v>
      </c>
      <c r="E2567">
        <v>562</v>
      </c>
    </row>
    <row r="2568" spans="1:5" x14ac:dyDescent="0.25">
      <c r="A2568" t="s">
        <v>1616</v>
      </c>
      <c r="B2568" t="str">
        <f>VLOOKUP(Counties_by_State_Code[[#This Row],[State_Code]],Territory_by_Code[],2)</f>
        <v>Tennessee</v>
      </c>
      <c r="C2568" t="s">
        <v>755</v>
      </c>
      <c r="D2568">
        <v>24925</v>
      </c>
      <c r="E2568">
        <v>613</v>
      </c>
    </row>
    <row r="2569" spans="1:5" x14ac:dyDescent="0.25">
      <c r="A2569" t="s">
        <v>1616</v>
      </c>
      <c r="B2569" t="str">
        <f>VLOOKUP(Counties_by_State_Code[[#This Row],[State_Code]],Territory_by_Code[],2)</f>
        <v>Tennessee</v>
      </c>
      <c r="C2569" t="s">
        <v>35</v>
      </c>
      <c r="D2569">
        <v>8283</v>
      </c>
      <c r="E2569">
        <v>200</v>
      </c>
    </row>
    <row r="2570" spans="1:5" x14ac:dyDescent="0.25">
      <c r="A2570" t="s">
        <v>1616</v>
      </c>
      <c r="B2570" t="str">
        <f>VLOOKUP(Counties_by_State_Code[[#This Row],[State_Code]],Territory_by_Code[],2)</f>
        <v>Tennessee</v>
      </c>
      <c r="C2570" t="s">
        <v>1008</v>
      </c>
      <c r="D2570">
        <v>18990</v>
      </c>
      <c r="E2570">
        <v>532</v>
      </c>
    </row>
    <row r="2571" spans="1:5" x14ac:dyDescent="0.25">
      <c r="A2571" t="s">
        <v>1616</v>
      </c>
      <c r="B2571" t="str">
        <f>VLOOKUP(Counties_by_State_Code[[#This Row],[State_Code]],Territory_by_Code[],2)</f>
        <v>Tennessee</v>
      </c>
      <c r="C2571" t="s">
        <v>36</v>
      </c>
      <c r="D2571">
        <v>11617</v>
      </c>
      <c r="E2571">
        <v>309</v>
      </c>
    </row>
    <row r="2572" spans="1:5" x14ac:dyDescent="0.25">
      <c r="A2572" t="s">
        <v>1616</v>
      </c>
      <c r="B2572" t="str">
        <f>VLOOKUP(Counties_by_State_Code[[#This Row],[State_Code]],Territory_by_Code[],2)</f>
        <v>Tennessee</v>
      </c>
      <c r="C2572" t="s">
        <v>37</v>
      </c>
      <c r="D2572">
        <v>54683</v>
      </c>
      <c r="E2572">
        <v>274</v>
      </c>
    </row>
    <row r="2573" spans="1:5" x14ac:dyDescent="0.25">
      <c r="A2573" t="s">
        <v>1616</v>
      </c>
      <c r="B2573" t="str">
        <f>VLOOKUP(Counties_by_State_Code[[#This Row],[State_Code]],Territory_by_Code[],2)</f>
        <v>Tennessee</v>
      </c>
      <c r="C2573" t="s">
        <v>149</v>
      </c>
      <c r="D2573">
        <v>17948</v>
      </c>
      <c r="E2573">
        <v>299</v>
      </c>
    </row>
    <row r="2574" spans="1:5" x14ac:dyDescent="0.25">
      <c r="A2574" t="s">
        <v>1616</v>
      </c>
      <c r="B2574" t="str">
        <f>VLOOKUP(Counties_by_State_Code[[#This Row],[State_Code]],Territory_by_Code[],2)</f>
        <v>Tennessee</v>
      </c>
      <c r="C2574" t="s">
        <v>543</v>
      </c>
      <c r="D2574">
        <v>478971</v>
      </c>
      <c r="E2574">
        <v>509</v>
      </c>
    </row>
    <row r="2575" spans="1:5" x14ac:dyDescent="0.25">
      <c r="A2575" t="s">
        <v>1616</v>
      </c>
      <c r="B2575" t="str">
        <f>VLOOKUP(Counties_by_State_Code[[#This Row],[State_Code]],Territory_by_Code[],2)</f>
        <v>Tennessee</v>
      </c>
      <c r="C2575" t="s">
        <v>196</v>
      </c>
      <c r="D2575">
        <v>7005</v>
      </c>
      <c r="E2575">
        <v>163</v>
      </c>
    </row>
    <row r="2576" spans="1:5" x14ac:dyDescent="0.25">
      <c r="A2576" t="s">
        <v>1616</v>
      </c>
      <c r="B2576" t="str">
        <f>VLOOKUP(Counties_by_State_Code[[#This Row],[State_Code]],Territory_by_Code[],2)</f>
        <v>Tennessee</v>
      </c>
      <c r="C2576" t="s">
        <v>39</v>
      </c>
      <c r="D2576">
        <v>25143</v>
      </c>
      <c r="E2576">
        <v>470</v>
      </c>
    </row>
    <row r="2577" spans="1:5" x14ac:dyDescent="0.25">
      <c r="A2577" t="s">
        <v>1616</v>
      </c>
      <c r="B2577" t="str">
        <f>VLOOKUP(Counties_by_State_Code[[#This Row],[State_Code]],Territory_by_Code[],2)</f>
        <v>Tennessee</v>
      </c>
      <c r="C2577" t="s">
        <v>40</v>
      </c>
      <c r="D2577">
        <v>44159</v>
      </c>
      <c r="E2577">
        <v>617</v>
      </c>
    </row>
    <row r="2578" spans="1:5" x14ac:dyDescent="0.25">
      <c r="A2578" t="s">
        <v>1616</v>
      </c>
      <c r="B2578" t="str">
        <f>VLOOKUP(Counties_by_State_Code[[#This Row],[State_Code]],Territory_by_Code[],2)</f>
        <v>Tennessee</v>
      </c>
      <c r="C2578" t="s">
        <v>506</v>
      </c>
      <c r="D2578">
        <v>12582</v>
      </c>
      <c r="E2578">
        <v>282</v>
      </c>
    </row>
    <row r="2579" spans="1:5" x14ac:dyDescent="0.25">
      <c r="A2579" t="s">
        <v>1616</v>
      </c>
      <c r="B2579" t="str">
        <f>VLOOKUP(Counties_by_State_Code[[#This Row],[State_Code]],Territory_by_Code[],2)</f>
        <v>Tennessee</v>
      </c>
      <c r="C2579" t="s">
        <v>151</v>
      </c>
      <c r="D2579">
        <v>35319</v>
      </c>
      <c r="E2579">
        <v>570</v>
      </c>
    </row>
    <row r="2580" spans="1:5" x14ac:dyDescent="0.25">
      <c r="A2580" t="s">
        <v>1616</v>
      </c>
      <c r="B2580" t="str">
        <f>VLOOKUP(Counties_by_State_Code[[#This Row],[State_Code]],Territory_by_Code[],2)</f>
        <v>Tennessee</v>
      </c>
      <c r="C2580" t="s">
        <v>1630</v>
      </c>
      <c r="D2580">
        <v>54886</v>
      </c>
      <c r="E2580">
        <v>229</v>
      </c>
    </row>
    <row r="2581" spans="1:5" x14ac:dyDescent="0.25">
      <c r="A2581" t="s">
        <v>1616</v>
      </c>
      <c r="B2581" t="str">
        <f>VLOOKUP(Counties_by_State_Code[[#This Row],[State_Code]],Territory_by_Code[],2)</f>
        <v>Tennessee</v>
      </c>
      <c r="C2581" t="s">
        <v>44</v>
      </c>
      <c r="D2581">
        <v>25216</v>
      </c>
      <c r="E2581">
        <v>500</v>
      </c>
    </row>
    <row r="2582" spans="1:5" x14ac:dyDescent="0.25">
      <c r="A2582" t="s">
        <v>1616</v>
      </c>
      <c r="B2582" t="str">
        <f>VLOOKUP(Counties_by_State_Code[[#This Row],[State_Code]],Territory_by_Code[],2)</f>
        <v>Tennessee</v>
      </c>
      <c r="C2582" t="s">
        <v>45</v>
      </c>
      <c r="D2582">
        <v>98823</v>
      </c>
      <c r="E2582">
        <v>375</v>
      </c>
    </row>
    <row r="2583" spans="1:5" x14ac:dyDescent="0.25">
      <c r="A2583" t="s">
        <v>1616</v>
      </c>
      <c r="B2583" t="str">
        <f>VLOOKUP(Counties_by_State_Code[[#This Row],[State_Code]],Territory_by_Code[],2)</f>
        <v>Tennessee</v>
      </c>
      <c r="C2583" t="s">
        <v>47</v>
      </c>
      <c r="D2583">
        <v>28837</v>
      </c>
      <c r="E2583">
        <v>613</v>
      </c>
    </row>
    <row r="2584" spans="1:5" x14ac:dyDescent="0.25">
      <c r="A2584" t="s">
        <v>1616</v>
      </c>
      <c r="B2584" t="str">
        <f>VLOOKUP(Counties_by_State_Code[[#This Row],[State_Code]],Territory_by_Code[],2)</f>
        <v>Tennessee</v>
      </c>
      <c r="C2584" t="s">
        <v>48</v>
      </c>
      <c r="D2584">
        <v>34318</v>
      </c>
      <c r="E2584">
        <v>430</v>
      </c>
    </row>
    <row r="2585" spans="1:5" x14ac:dyDescent="0.25">
      <c r="A2585" t="s">
        <v>1616</v>
      </c>
      <c r="B2585" t="str">
        <f>VLOOKUP(Counties_by_State_Code[[#This Row],[State_Code]],Territory_by_Code[],2)</f>
        <v>Tennessee</v>
      </c>
      <c r="C2585" t="s">
        <v>1631</v>
      </c>
      <c r="D2585">
        <v>100974</v>
      </c>
      <c r="E2585">
        <v>560</v>
      </c>
    </row>
    <row r="2586" spans="1:5" x14ac:dyDescent="0.25">
      <c r="A2586" t="s">
        <v>1616</v>
      </c>
      <c r="B2586" t="str">
        <f>VLOOKUP(Counties_by_State_Code[[#This Row],[State_Code]],Territory_by_Code[],2)</f>
        <v>Tennessee</v>
      </c>
      <c r="C2586" t="s">
        <v>1632</v>
      </c>
      <c r="D2586">
        <v>53276</v>
      </c>
      <c r="E2586">
        <v>430</v>
      </c>
    </row>
    <row r="2587" spans="1:5" x14ac:dyDescent="0.25">
      <c r="A2587" t="s">
        <v>1616</v>
      </c>
      <c r="B2587" t="str">
        <f>VLOOKUP(Counties_by_State_Code[[#This Row],[State_Code]],Territory_by_Code[],2)</f>
        <v>Tennessee</v>
      </c>
      <c r="C2587" t="s">
        <v>1633</v>
      </c>
      <c r="D2587">
        <v>25866</v>
      </c>
      <c r="E2587">
        <v>557</v>
      </c>
    </row>
    <row r="2588" spans="1:5" x14ac:dyDescent="0.25">
      <c r="A2588" t="s">
        <v>1616</v>
      </c>
      <c r="B2588" t="str">
        <f>VLOOKUP(Counties_by_State_Code[[#This Row],[State_Code]],Territory_by_Code[],2)</f>
        <v>Tennessee</v>
      </c>
      <c r="C2588" t="s">
        <v>1361</v>
      </c>
      <c r="D2588">
        <v>12758</v>
      </c>
      <c r="E2588">
        <v>195</v>
      </c>
    </row>
    <row r="2589" spans="1:5" x14ac:dyDescent="0.25">
      <c r="A2589" t="s">
        <v>1616</v>
      </c>
      <c r="B2589" t="str">
        <f>VLOOKUP(Counties_by_State_Code[[#This Row],[State_Code]],Territory_by_Code[],2)</f>
        <v>Tennessee</v>
      </c>
      <c r="C2589" t="s">
        <v>50</v>
      </c>
      <c r="D2589">
        <v>46250</v>
      </c>
      <c r="E2589">
        <v>635</v>
      </c>
    </row>
    <row r="2590" spans="1:5" x14ac:dyDescent="0.25">
      <c r="A2590" t="s">
        <v>1616</v>
      </c>
      <c r="B2590" t="str">
        <f>VLOOKUP(Counties_by_State_Code[[#This Row],[State_Code]],Territory_by_Code[],2)</f>
        <v>Tennessee</v>
      </c>
      <c r="C2590" t="s">
        <v>51</v>
      </c>
      <c r="D2590">
        <v>220069</v>
      </c>
      <c r="E2590">
        <v>539</v>
      </c>
    </row>
    <row r="2591" spans="1:5" x14ac:dyDescent="0.25">
      <c r="A2591" t="s">
        <v>1616</v>
      </c>
      <c r="B2591" t="str">
        <f>VLOOKUP(Counties_by_State_Code[[#This Row],[State_Code]],Territory_by_Code[],2)</f>
        <v>Tennessee</v>
      </c>
      <c r="C2591" t="s">
        <v>1278</v>
      </c>
      <c r="D2591">
        <v>6461</v>
      </c>
      <c r="E2591">
        <v>129</v>
      </c>
    </row>
    <row r="2592" spans="1:5" x14ac:dyDescent="0.25">
      <c r="A2592" t="s">
        <v>1616</v>
      </c>
      <c r="B2592" t="str">
        <f>VLOOKUP(Counties_by_State_Code[[#This Row],[State_Code]],Territory_by_Code[],2)</f>
        <v>Tennessee</v>
      </c>
      <c r="C2592" t="s">
        <v>52</v>
      </c>
      <c r="D2592">
        <v>21035</v>
      </c>
      <c r="E2592">
        <v>522</v>
      </c>
    </row>
    <row r="2593" spans="1:5" x14ac:dyDescent="0.25">
      <c r="A2593" t="s">
        <v>1616</v>
      </c>
      <c r="B2593" t="str">
        <f>VLOOKUP(Counties_by_State_Code[[#This Row],[State_Code]],Territory_by_Code[],2)</f>
        <v>Tennessee</v>
      </c>
      <c r="C2593" t="s">
        <v>1634</v>
      </c>
      <c r="D2593">
        <v>30787</v>
      </c>
      <c r="E2593">
        <v>545</v>
      </c>
    </row>
    <row r="2594" spans="1:5" x14ac:dyDescent="0.25">
      <c r="A2594" t="s">
        <v>1616</v>
      </c>
      <c r="B2594" t="str">
        <f>VLOOKUP(Counties_by_State_Code[[#This Row],[State_Code]],Territory_by_Code[],2)</f>
        <v>Tennessee</v>
      </c>
      <c r="C2594" t="s">
        <v>1635</v>
      </c>
      <c r="D2594">
        <v>22511</v>
      </c>
      <c r="E2594">
        <v>433</v>
      </c>
    </row>
    <row r="2595" spans="1:5" x14ac:dyDescent="0.25">
      <c r="A2595" t="s">
        <v>1616</v>
      </c>
      <c r="B2595" t="str">
        <f>VLOOKUP(Counties_by_State_Code[[#This Row],[State_Code]],Territory_by_Code[],2)</f>
        <v>Tennessee</v>
      </c>
      <c r="C2595" t="s">
        <v>53</v>
      </c>
      <c r="D2595">
        <v>8366</v>
      </c>
      <c r="E2595">
        <v>415</v>
      </c>
    </row>
    <row r="2596" spans="1:5" x14ac:dyDescent="0.25">
      <c r="A2596" t="s">
        <v>1616</v>
      </c>
      <c r="B2596" t="str">
        <f>VLOOKUP(Counties_by_State_Code[[#This Row],[State_Code]],Territory_by_Code[],2)</f>
        <v>Tennessee</v>
      </c>
      <c r="C2596" t="s">
        <v>1636</v>
      </c>
      <c r="D2596">
        <v>5001</v>
      </c>
      <c r="E2596">
        <v>163</v>
      </c>
    </row>
    <row r="2597" spans="1:5" x14ac:dyDescent="0.25">
      <c r="A2597" t="s">
        <v>1616</v>
      </c>
      <c r="B2597" t="str">
        <f>VLOOKUP(Counties_by_State_Code[[#This Row],[State_Code]],Territory_by_Code[],2)</f>
        <v>Tennessee</v>
      </c>
      <c r="C2597" t="s">
        <v>162</v>
      </c>
      <c r="D2597">
        <v>17544</v>
      </c>
      <c r="E2597">
        <v>435</v>
      </c>
    </row>
    <row r="2598" spans="1:5" x14ac:dyDescent="0.25">
      <c r="A2598" t="s">
        <v>1616</v>
      </c>
      <c r="B2598" t="str">
        <f>VLOOKUP(Counties_by_State_Code[[#This Row],[State_Code]],Territory_by_Code[],2)</f>
        <v>Tennessee</v>
      </c>
      <c r="C2598" t="s">
        <v>355</v>
      </c>
      <c r="D2598">
        <v>79854</v>
      </c>
      <c r="E2598">
        <v>401</v>
      </c>
    </row>
    <row r="2599" spans="1:5" x14ac:dyDescent="0.25">
      <c r="A2599" t="s">
        <v>1616</v>
      </c>
      <c r="B2599" t="str">
        <f>VLOOKUP(Counties_by_State_Code[[#This Row],[State_Code]],Territory_by_Code[],2)</f>
        <v>Tennessee</v>
      </c>
      <c r="C2599" t="s">
        <v>1637</v>
      </c>
      <c r="D2599">
        <v>32870</v>
      </c>
      <c r="E2599">
        <v>316</v>
      </c>
    </row>
    <row r="2600" spans="1:5" x14ac:dyDescent="0.25">
      <c r="A2600" t="s">
        <v>1616</v>
      </c>
      <c r="B2600" t="str">
        <f>VLOOKUP(Counties_by_State_Code[[#This Row],[State_Code]],Territory_by_Code[],2)</f>
        <v>Tennessee</v>
      </c>
      <c r="C2600" t="s">
        <v>1638</v>
      </c>
      <c r="D2600">
        <v>53404</v>
      </c>
      <c r="E2600">
        <v>361</v>
      </c>
    </row>
    <row r="2601" spans="1:5" x14ac:dyDescent="0.25">
      <c r="A2601" t="s">
        <v>1616</v>
      </c>
      <c r="B2601" t="str">
        <f>VLOOKUP(Counties_by_State_Code[[#This Row],[State_Code]],Territory_by_Code[],2)</f>
        <v>Tennessee</v>
      </c>
      <c r="C2601" t="s">
        <v>776</v>
      </c>
      <c r="D2601">
        <v>72803</v>
      </c>
      <c r="E2601">
        <v>477</v>
      </c>
    </row>
    <row r="2602" spans="1:5" x14ac:dyDescent="0.25">
      <c r="A2602" t="s">
        <v>1616</v>
      </c>
      <c r="B2602" t="str">
        <f>VLOOKUP(Counties_by_State_Code[[#This Row],[State_Code]],Territory_by_Code[],2)</f>
        <v>Tennessee</v>
      </c>
      <c r="C2602" t="s">
        <v>1290</v>
      </c>
      <c r="D2602">
        <v>341486</v>
      </c>
      <c r="E2602">
        <v>619</v>
      </c>
    </row>
    <row r="2603" spans="1:5" x14ac:dyDescent="0.25">
      <c r="A2603" t="s">
        <v>1616</v>
      </c>
      <c r="B2603" t="str">
        <f>VLOOKUP(Counties_by_State_Code[[#This Row],[State_Code]],Territory_by_Code[],2)</f>
        <v>Tennessee</v>
      </c>
      <c r="C2603" t="s">
        <v>168</v>
      </c>
      <c r="D2603">
        <v>21850</v>
      </c>
      <c r="E2603">
        <v>532</v>
      </c>
    </row>
    <row r="2604" spans="1:5" x14ac:dyDescent="0.25">
      <c r="A2604" t="s">
        <v>1616</v>
      </c>
      <c r="B2604" t="str">
        <f>VLOOKUP(Counties_by_State_Code[[#This Row],[State_Code]],Territory_by_Code[],2)</f>
        <v>Tennessee</v>
      </c>
      <c r="C2604" t="s">
        <v>1639</v>
      </c>
      <c r="D2604">
        <v>15826</v>
      </c>
      <c r="E2604">
        <v>266</v>
      </c>
    </row>
    <row r="2605" spans="1:5" x14ac:dyDescent="0.25">
      <c r="A2605" t="s">
        <v>1616</v>
      </c>
      <c r="B2605" t="str">
        <f>VLOOKUP(Counties_by_State_Code[[#This Row],[State_Code]],Territory_by_Code[],2)</f>
        <v>Tennessee</v>
      </c>
      <c r="C2605" t="s">
        <v>171</v>
      </c>
      <c r="D2605">
        <v>98380</v>
      </c>
      <c r="E2605">
        <v>592</v>
      </c>
    </row>
    <row r="2606" spans="1:5" x14ac:dyDescent="0.25">
      <c r="A2606" t="s">
        <v>1616</v>
      </c>
      <c r="B2606" t="str">
        <f>VLOOKUP(Counties_by_State_Code[[#This Row],[State_Code]],Territory_by_Code[],2)</f>
        <v>Tennessee</v>
      </c>
      <c r="C2606" t="s">
        <v>58</v>
      </c>
      <c r="D2606">
        <v>929744</v>
      </c>
      <c r="E2606">
        <v>755</v>
      </c>
    </row>
    <row r="2607" spans="1:5" x14ac:dyDescent="0.25">
      <c r="A2607" t="s">
        <v>1616</v>
      </c>
      <c r="B2607" t="str">
        <f>VLOOKUP(Counties_by_State_Code[[#This Row],[State_Code]],Territory_by_Code[],2)</f>
        <v>Tennessee</v>
      </c>
      <c r="C2607" t="s">
        <v>716</v>
      </c>
      <c r="D2607">
        <v>19904</v>
      </c>
      <c r="E2607">
        <v>314</v>
      </c>
    </row>
    <row r="2608" spans="1:5" x14ac:dyDescent="0.25">
      <c r="A2608" t="s">
        <v>1616</v>
      </c>
      <c r="B2608" t="str">
        <f>VLOOKUP(Counties_by_State_Code[[#This Row],[State_Code]],Territory_by_Code[],2)</f>
        <v>Tennessee</v>
      </c>
      <c r="C2608" t="s">
        <v>451</v>
      </c>
      <c r="D2608">
        <v>13657</v>
      </c>
      <c r="E2608">
        <v>458</v>
      </c>
    </row>
    <row r="2609" spans="1:5" x14ac:dyDescent="0.25">
      <c r="A2609" t="s">
        <v>1616</v>
      </c>
      <c r="B2609" t="str">
        <f>VLOOKUP(Counties_by_State_Code[[#This Row],[State_Code]],Territory_by_Code[],2)</f>
        <v>Tennessee</v>
      </c>
      <c r="C2609" t="s">
        <v>604</v>
      </c>
      <c r="D2609">
        <v>158163</v>
      </c>
      <c r="E2609">
        <v>413</v>
      </c>
    </row>
    <row r="2610" spans="1:5" x14ac:dyDescent="0.25">
      <c r="A2610" t="s">
        <v>1616</v>
      </c>
      <c r="B2610" t="str">
        <f>VLOOKUP(Counties_by_State_Code[[#This Row],[State_Code]],Territory_by_Code[],2)</f>
        <v>Tennessee</v>
      </c>
      <c r="C2610" t="s">
        <v>720</v>
      </c>
      <c r="D2610">
        <v>196281</v>
      </c>
      <c r="E2610">
        <v>529</v>
      </c>
    </row>
    <row r="2611" spans="1:5" x14ac:dyDescent="0.25">
      <c r="A2611" t="s">
        <v>1616</v>
      </c>
      <c r="B2611" t="str">
        <f>VLOOKUP(Counties_by_State_Code[[#This Row],[State_Code]],Territory_by_Code[],2)</f>
        <v>Tennessee</v>
      </c>
      <c r="C2611" t="s">
        <v>607</v>
      </c>
      <c r="D2611">
        <v>60970</v>
      </c>
      <c r="E2611">
        <v>459</v>
      </c>
    </row>
    <row r="2612" spans="1:5" x14ac:dyDescent="0.25">
      <c r="A2612" t="s">
        <v>1616</v>
      </c>
      <c r="B2612" t="str">
        <f>VLOOKUP(Counties_by_State_Code[[#This Row],[State_Code]],Territory_by_Code[],2)</f>
        <v>Tennessee</v>
      </c>
      <c r="C2612" t="s">
        <v>1640</v>
      </c>
      <c r="D2612">
        <v>11615</v>
      </c>
      <c r="E2612">
        <v>114</v>
      </c>
    </row>
    <row r="2613" spans="1:5" x14ac:dyDescent="0.25">
      <c r="A2613" t="s">
        <v>1616</v>
      </c>
      <c r="B2613" t="str">
        <f>VLOOKUP(Counties_by_State_Code[[#This Row],[State_Code]],Territory_by_Code[],2)</f>
        <v>Tennessee</v>
      </c>
      <c r="C2613" t="s">
        <v>1641</v>
      </c>
      <c r="D2613">
        <v>17928</v>
      </c>
      <c r="E2613">
        <v>186</v>
      </c>
    </row>
    <row r="2614" spans="1:5" x14ac:dyDescent="0.25">
      <c r="A2614" t="s">
        <v>1616</v>
      </c>
      <c r="B2614" t="str">
        <f>VLOOKUP(Counties_by_State_Code[[#This Row],[State_Code]],Territory_by_Code[],2)</f>
        <v>Tennessee</v>
      </c>
      <c r="C2614" t="s">
        <v>174</v>
      </c>
      <c r="D2614">
        <v>19802</v>
      </c>
      <c r="E2614">
        <v>224</v>
      </c>
    </row>
    <row r="2615" spans="1:5" x14ac:dyDescent="0.25">
      <c r="A2615" t="s">
        <v>1616</v>
      </c>
      <c r="B2615" t="str">
        <f>VLOOKUP(Counties_by_State_Code[[#This Row],[State_Code]],Territory_by_Code[],2)</f>
        <v>Tennessee</v>
      </c>
      <c r="C2615" t="s">
        <v>175</v>
      </c>
      <c r="D2615">
        <v>6168</v>
      </c>
      <c r="E2615">
        <v>247</v>
      </c>
    </row>
    <row r="2616" spans="1:5" x14ac:dyDescent="0.25">
      <c r="A2616" t="s">
        <v>1616</v>
      </c>
      <c r="B2616" t="str">
        <f>VLOOKUP(Counties_by_State_Code[[#This Row],[State_Code]],Territory_by_Code[],2)</f>
        <v>Tennessee</v>
      </c>
      <c r="C2616" t="s">
        <v>467</v>
      </c>
      <c r="D2616">
        <v>40953</v>
      </c>
      <c r="E2616">
        <v>433</v>
      </c>
    </row>
    <row r="2617" spans="1:5" x14ac:dyDescent="0.25">
      <c r="A2617" t="s">
        <v>1616</v>
      </c>
      <c r="B2617" t="str">
        <f>VLOOKUP(Counties_by_State_Code[[#This Row],[State_Code]],Territory_by_Code[],2)</f>
        <v>Tennessee</v>
      </c>
      <c r="C2617" t="s">
        <v>65</v>
      </c>
      <c r="D2617">
        <v>133001</v>
      </c>
      <c r="E2617">
        <v>326</v>
      </c>
    </row>
    <row r="2618" spans="1:5" x14ac:dyDescent="0.25">
      <c r="A2618" t="s">
        <v>1616</v>
      </c>
      <c r="B2618" t="str">
        <f>VLOOKUP(Counties_by_State_Code[[#This Row],[State_Code]],Territory_by_Code[],2)</f>
        <v>Tennessee</v>
      </c>
      <c r="C2618" t="s">
        <v>468</v>
      </c>
      <c r="D2618">
        <v>16232</v>
      </c>
      <c r="E2618">
        <v>734</v>
      </c>
    </row>
    <row r="2619" spans="1:5" x14ac:dyDescent="0.25">
      <c r="A2619" t="s">
        <v>1616</v>
      </c>
      <c r="B2619" t="str">
        <f>VLOOKUP(Counties_by_State_Code[[#This Row],[State_Code]],Territory_by_Code[],2)</f>
        <v>Tennessee</v>
      </c>
      <c r="C2619" t="s">
        <v>1642</v>
      </c>
      <c r="D2619">
        <v>32902</v>
      </c>
      <c r="E2619">
        <v>580</v>
      </c>
    </row>
    <row r="2620" spans="1:5" x14ac:dyDescent="0.25">
      <c r="A2620" t="s">
        <v>1616</v>
      </c>
      <c r="B2620" t="str">
        <f>VLOOKUP(Counties_by_State_Code[[#This Row],[State_Code]],Territory_by_Code[],2)</f>
        <v>Tennessee</v>
      </c>
      <c r="C2620" t="s">
        <v>176</v>
      </c>
      <c r="D2620">
        <v>27351</v>
      </c>
      <c r="E2620">
        <v>377</v>
      </c>
    </row>
    <row r="2621" spans="1:5" x14ac:dyDescent="0.25">
      <c r="A2621" t="s">
        <v>1616</v>
      </c>
      <c r="B2621" t="str">
        <f>VLOOKUP(Counties_by_State_Code[[#This Row],[State_Code]],Territory_by_Code[],2)</f>
        <v>Tennessee</v>
      </c>
      <c r="C2621" t="s">
        <v>569</v>
      </c>
      <c r="D2621">
        <v>247726</v>
      </c>
      <c r="E2621">
        <v>582</v>
      </c>
    </row>
    <row r="2622" spans="1:5" x14ac:dyDescent="0.25">
      <c r="A2622" t="s">
        <v>1616</v>
      </c>
      <c r="B2622" t="str">
        <f>VLOOKUP(Counties_by_State_Code[[#This Row],[State_Code]],Territory_by_Code[],2)</f>
        <v>Tennessee</v>
      </c>
      <c r="C2622" t="s">
        <v>725</v>
      </c>
      <c r="D2622">
        <v>147737</v>
      </c>
      <c r="E2622">
        <v>571</v>
      </c>
    </row>
    <row r="2623" spans="1:5" x14ac:dyDescent="0.25">
      <c r="A2623" t="s">
        <v>1643</v>
      </c>
      <c r="B2623" t="str">
        <f>VLOOKUP(Counties_by_State_Code[[#This Row],[State_Code]],Territory_by_Code[],2)</f>
        <v>Texas</v>
      </c>
      <c r="C2623" t="s">
        <v>661</v>
      </c>
      <c r="D2623">
        <v>57922</v>
      </c>
      <c r="E2623">
        <v>1071</v>
      </c>
    </row>
    <row r="2624" spans="1:5" x14ac:dyDescent="0.25">
      <c r="A2624" t="s">
        <v>1643</v>
      </c>
      <c r="B2624" t="str">
        <f>VLOOKUP(Counties_by_State_Code[[#This Row],[State_Code]],Territory_by_Code[],2)</f>
        <v>Texas</v>
      </c>
      <c r="C2624" t="s">
        <v>1644</v>
      </c>
      <c r="D2624">
        <v>18610</v>
      </c>
      <c r="E2624">
        <v>1501</v>
      </c>
    </row>
    <row r="2625" spans="1:5" x14ac:dyDescent="0.25">
      <c r="A2625" t="s">
        <v>1643</v>
      </c>
      <c r="B2625" t="str">
        <f>VLOOKUP(Counties_by_State_Code[[#This Row],[State_Code]],Territory_by_Code[],2)</f>
        <v>Texas</v>
      </c>
      <c r="C2625" t="s">
        <v>1645</v>
      </c>
      <c r="D2625">
        <v>86395</v>
      </c>
      <c r="E2625">
        <v>802</v>
      </c>
    </row>
    <row r="2626" spans="1:5" x14ac:dyDescent="0.25">
      <c r="A2626" t="s">
        <v>1643</v>
      </c>
      <c r="B2626" t="str">
        <f>VLOOKUP(Counties_by_State_Code[[#This Row],[State_Code]],Territory_by_Code[],2)</f>
        <v>Texas</v>
      </c>
      <c r="C2626" t="s">
        <v>1646</v>
      </c>
      <c r="D2626">
        <v>23830</v>
      </c>
      <c r="E2626">
        <v>252</v>
      </c>
    </row>
    <row r="2627" spans="1:5" x14ac:dyDescent="0.25">
      <c r="A2627" t="s">
        <v>1643</v>
      </c>
      <c r="B2627" t="str">
        <f>VLOOKUP(Counties_by_State_Code[[#This Row],[State_Code]],Territory_by_Code[],2)</f>
        <v>Texas</v>
      </c>
      <c r="C2627" t="s">
        <v>1647</v>
      </c>
      <c r="D2627">
        <v>8560</v>
      </c>
      <c r="E2627">
        <v>910</v>
      </c>
    </row>
    <row r="2628" spans="1:5" x14ac:dyDescent="0.25">
      <c r="A2628" t="s">
        <v>1643</v>
      </c>
      <c r="B2628" t="str">
        <f>VLOOKUP(Counties_by_State_Code[[#This Row],[State_Code]],Territory_by_Code[],2)</f>
        <v>Texas</v>
      </c>
      <c r="C2628" t="s">
        <v>1437</v>
      </c>
      <c r="D2628">
        <v>1848</v>
      </c>
      <c r="E2628">
        <v>914</v>
      </c>
    </row>
    <row r="2629" spans="1:5" x14ac:dyDescent="0.25">
      <c r="A2629" t="s">
        <v>1643</v>
      </c>
      <c r="B2629" t="str">
        <f>VLOOKUP(Counties_by_State_Code[[#This Row],[State_Code]],Territory_by_Code[],2)</f>
        <v>Texas</v>
      </c>
      <c r="C2629" t="s">
        <v>1648</v>
      </c>
      <c r="D2629">
        <v>48981</v>
      </c>
      <c r="E2629">
        <v>1232</v>
      </c>
    </row>
    <row r="2630" spans="1:5" x14ac:dyDescent="0.25">
      <c r="A2630" t="s">
        <v>1643</v>
      </c>
      <c r="B2630" t="str">
        <f>VLOOKUP(Counties_by_State_Code[[#This Row],[State_Code]],Territory_by_Code[],2)</f>
        <v>Texas</v>
      </c>
      <c r="C2630" t="s">
        <v>1649</v>
      </c>
      <c r="D2630">
        <v>30167</v>
      </c>
      <c r="E2630">
        <v>653</v>
      </c>
    </row>
    <row r="2631" spans="1:5" x14ac:dyDescent="0.25">
      <c r="A2631" t="s">
        <v>1643</v>
      </c>
      <c r="B2631" t="str">
        <f>VLOOKUP(Counties_by_State_Code[[#This Row],[State_Code]],Territory_by_Code[],2)</f>
        <v>Texas</v>
      </c>
      <c r="C2631" t="s">
        <v>1650</v>
      </c>
      <c r="D2631">
        <v>6904</v>
      </c>
      <c r="E2631">
        <v>827</v>
      </c>
    </row>
    <row r="2632" spans="1:5" x14ac:dyDescent="0.25">
      <c r="A2632" t="s">
        <v>1643</v>
      </c>
      <c r="B2632" t="str">
        <f>VLOOKUP(Counties_by_State_Code[[#This Row],[State_Code]],Territory_by_Code[],2)</f>
        <v>Texas</v>
      </c>
      <c r="C2632" t="s">
        <v>1651</v>
      </c>
      <c r="D2632">
        <v>20851</v>
      </c>
      <c r="E2632">
        <v>792</v>
      </c>
    </row>
    <row r="2633" spans="1:5" x14ac:dyDescent="0.25">
      <c r="A2633" t="s">
        <v>1643</v>
      </c>
      <c r="B2633" t="str">
        <f>VLOOKUP(Counties_by_State_Code[[#This Row],[State_Code]],Territory_by_Code[],2)</f>
        <v>Texas</v>
      </c>
      <c r="C2633" t="s">
        <v>1652</v>
      </c>
      <c r="D2633">
        <v>97216</v>
      </c>
      <c r="E2633">
        <v>888</v>
      </c>
    </row>
    <row r="2634" spans="1:5" x14ac:dyDescent="0.25">
      <c r="A2634" t="s">
        <v>1643</v>
      </c>
      <c r="B2634" t="str">
        <f>VLOOKUP(Counties_by_State_Code[[#This Row],[State_Code]],Territory_by_Code[],2)</f>
        <v>Texas</v>
      </c>
      <c r="C2634" t="s">
        <v>1653</v>
      </c>
      <c r="D2634">
        <v>3465</v>
      </c>
      <c r="E2634">
        <v>871</v>
      </c>
    </row>
    <row r="2635" spans="1:5" x14ac:dyDescent="0.25">
      <c r="A2635" t="s">
        <v>1643</v>
      </c>
      <c r="B2635" t="str">
        <f>VLOOKUP(Counties_by_State_Code[[#This Row],[State_Code]],Territory_by_Code[],2)</f>
        <v>Texas</v>
      </c>
      <c r="C2635" t="s">
        <v>1654</v>
      </c>
      <c r="D2635">
        <v>31047</v>
      </c>
      <c r="E2635">
        <v>880</v>
      </c>
    </row>
    <row r="2636" spans="1:5" x14ac:dyDescent="0.25">
      <c r="A2636" t="s">
        <v>1643</v>
      </c>
      <c r="B2636" t="str">
        <f>VLOOKUP(Counties_by_State_Code[[#This Row],[State_Code]],Territory_by_Code[],2)</f>
        <v>Texas</v>
      </c>
      <c r="C2636" t="s">
        <v>732</v>
      </c>
      <c r="D2636">
        <v>370647</v>
      </c>
      <c r="E2636">
        <v>1059</v>
      </c>
    </row>
    <row r="2637" spans="1:5" x14ac:dyDescent="0.25">
      <c r="A2637" t="s">
        <v>1643</v>
      </c>
      <c r="B2637" t="str">
        <f>VLOOKUP(Counties_by_State_Code[[#This Row],[State_Code]],Territory_by_Code[],2)</f>
        <v>Texas</v>
      </c>
      <c r="C2637" t="s">
        <v>1655</v>
      </c>
      <c r="D2637">
        <v>2009324</v>
      </c>
      <c r="E2637">
        <v>1247</v>
      </c>
    </row>
    <row r="2638" spans="1:5" x14ac:dyDescent="0.25">
      <c r="A2638" t="s">
        <v>1643</v>
      </c>
      <c r="B2638" t="str">
        <f>VLOOKUP(Counties_by_State_Code[[#This Row],[State_Code]],Territory_by_Code[],2)</f>
        <v>Texas</v>
      </c>
      <c r="C2638" t="s">
        <v>1656</v>
      </c>
      <c r="D2638">
        <v>11374</v>
      </c>
      <c r="E2638">
        <v>711</v>
      </c>
    </row>
    <row r="2639" spans="1:5" x14ac:dyDescent="0.25">
      <c r="A2639" t="s">
        <v>1643</v>
      </c>
      <c r="B2639" t="str">
        <f>VLOOKUP(Counties_by_State_Code[[#This Row],[State_Code]],Territory_by_Code[],2)</f>
        <v>Texas</v>
      </c>
      <c r="C2639" t="s">
        <v>1657</v>
      </c>
      <c r="D2639">
        <v>631</v>
      </c>
      <c r="E2639">
        <v>899</v>
      </c>
    </row>
    <row r="2640" spans="1:5" x14ac:dyDescent="0.25">
      <c r="A2640" t="s">
        <v>1643</v>
      </c>
      <c r="B2640" t="str">
        <f>VLOOKUP(Counties_by_State_Code[[#This Row],[State_Code]],Territory_by_Code[],2)</f>
        <v>Texas</v>
      </c>
      <c r="C2640" t="s">
        <v>1658</v>
      </c>
      <c r="D2640">
        <v>18235</v>
      </c>
      <c r="E2640">
        <v>989</v>
      </c>
    </row>
    <row r="2641" spans="1:5" x14ac:dyDescent="0.25">
      <c r="A2641" t="s">
        <v>1643</v>
      </c>
      <c r="B2641" t="str">
        <f>VLOOKUP(Counties_by_State_Code[[#This Row],[State_Code]],Territory_by_Code[],2)</f>
        <v>Texas</v>
      </c>
      <c r="C2641" t="s">
        <v>1659</v>
      </c>
      <c r="D2641">
        <v>92893</v>
      </c>
      <c r="E2641">
        <v>888</v>
      </c>
    </row>
    <row r="2642" spans="1:5" x14ac:dyDescent="0.25">
      <c r="A2642" t="s">
        <v>1643</v>
      </c>
      <c r="B2642" t="str">
        <f>VLOOKUP(Counties_by_State_Code[[#This Row],[State_Code]],Territory_by_Code[],2)</f>
        <v>Texas</v>
      </c>
      <c r="C2642" t="s">
        <v>1660</v>
      </c>
      <c r="D2642">
        <v>372031</v>
      </c>
      <c r="E2642">
        <v>1387</v>
      </c>
    </row>
    <row r="2643" spans="1:5" x14ac:dyDescent="0.25">
      <c r="A2643" t="s">
        <v>1643</v>
      </c>
      <c r="B2643" t="str">
        <f>VLOOKUP(Counties_by_State_Code[[#This Row],[State_Code]],Territory_by_Code[],2)</f>
        <v>Texas</v>
      </c>
      <c r="C2643" t="s">
        <v>1661</v>
      </c>
      <c r="D2643">
        <v>233849</v>
      </c>
      <c r="E2643">
        <v>586</v>
      </c>
    </row>
    <row r="2644" spans="1:5" x14ac:dyDescent="0.25">
      <c r="A2644" t="s">
        <v>1643</v>
      </c>
      <c r="B2644" t="str">
        <f>VLOOKUP(Counties_by_State_Code[[#This Row],[State_Code]],Territory_by_Code[],2)</f>
        <v>Texas</v>
      </c>
      <c r="C2644" t="s">
        <v>1662</v>
      </c>
      <c r="D2644">
        <v>9546</v>
      </c>
      <c r="E2644">
        <v>6193</v>
      </c>
    </row>
    <row r="2645" spans="1:5" x14ac:dyDescent="0.25">
      <c r="A2645" t="s">
        <v>1643</v>
      </c>
      <c r="B2645" t="str">
        <f>VLOOKUP(Counties_by_State_Code[[#This Row],[State_Code]],Territory_by_Code[],2)</f>
        <v>Texas</v>
      </c>
      <c r="C2645" t="s">
        <v>1663</v>
      </c>
      <c r="D2645">
        <v>1435</v>
      </c>
      <c r="E2645">
        <v>900</v>
      </c>
    </row>
    <row r="2646" spans="1:5" x14ac:dyDescent="0.25">
      <c r="A2646" t="s">
        <v>1643</v>
      </c>
      <c r="B2646" t="str">
        <f>VLOOKUP(Counties_by_State_Code[[#This Row],[State_Code]],Territory_by_Code[],2)</f>
        <v>Texas</v>
      </c>
      <c r="C2646" t="s">
        <v>377</v>
      </c>
      <c r="D2646">
        <v>7076</v>
      </c>
      <c r="E2646">
        <v>943</v>
      </c>
    </row>
    <row r="2647" spans="1:5" x14ac:dyDescent="0.25">
      <c r="A2647" t="s">
        <v>1643</v>
      </c>
      <c r="B2647" t="str">
        <f>VLOOKUP(Counties_by_State_Code[[#This Row],[State_Code]],Territory_by_Code[],2)</f>
        <v>Texas</v>
      </c>
      <c r="C2647" t="s">
        <v>520</v>
      </c>
      <c r="D2647">
        <v>38095</v>
      </c>
      <c r="E2647">
        <v>944</v>
      </c>
    </row>
    <row r="2648" spans="1:5" x14ac:dyDescent="0.25">
      <c r="A2648" t="s">
        <v>1643</v>
      </c>
      <c r="B2648" t="str">
        <f>VLOOKUP(Counties_by_State_Code[[#This Row],[State_Code]],Territory_by_Code[],2)</f>
        <v>Texas</v>
      </c>
      <c r="C2648" t="s">
        <v>1664</v>
      </c>
      <c r="D2648">
        <v>17642</v>
      </c>
      <c r="E2648">
        <v>666</v>
      </c>
    </row>
    <row r="2649" spans="1:5" x14ac:dyDescent="0.25">
      <c r="A2649" t="s">
        <v>1643</v>
      </c>
      <c r="B2649" t="str">
        <f>VLOOKUP(Counties_by_State_Code[[#This Row],[State_Code]],Territory_by_Code[],2)</f>
        <v>Texas</v>
      </c>
      <c r="C2649" t="s">
        <v>1665</v>
      </c>
      <c r="D2649">
        <v>49130</v>
      </c>
      <c r="E2649">
        <v>995</v>
      </c>
    </row>
    <row r="2650" spans="1:5" x14ac:dyDescent="0.25">
      <c r="A2650" t="s">
        <v>1643</v>
      </c>
      <c r="B2650" t="str">
        <f>VLOOKUP(Counties_by_State_Code[[#This Row],[State_Code]],Territory_by_Code[],2)</f>
        <v>Texas</v>
      </c>
      <c r="C2650" t="s">
        <v>739</v>
      </c>
      <c r="D2650">
        <v>45883</v>
      </c>
      <c r="E2650">
        <v>546</v>
      </c>
    </row>
    <row r="2651" spans="1:5" x14ac:dyDescent="0.25">
      <c r="A2651" t="s">
        <v>1643</v>
      </c>
      <c r="B2651" t="str">
        <f>VLOOKUP(Counties_by_State_Code[[#This Row],[State_Code]],Territory_by_Code[],2)</f>
        <v>Texas</v>
      </c>
      <c r="C2651" t="s">
        <v>8</v>
      </c>
      <c r="D2651">
        <v>20106</v>
      </c>
      <c r="E2651">
        <v>512</v>
      </c>
    </row>
    <row r="2652" spans="1:5" x14ac:dyDescent="0.25">
      <c r="A2652" t="s">
        <v>1643</v>
      </c>
      <c r="B2652" t="str">
        <f>VLOOKUP(Counties_by_State_Code[[#This Row],[State_Code]],Territory_by_Code[],2)</f>
        <v>Texas</v>
      </c>
      <c r="C2652" t="s">
        <v>1666</v>
      </c>
      <c r="D2652">
        <v>13708</v>
      </c>
      <c r="E2652">
        <v>899</v>
      </c>
    </row>
    <row r="2653" spans="1:5" x14ac:dyDescent="0.25">
      <c r="A2653" t="s">
        <v>1643</v>
      </c>
      <c r="B2653" t="str">
        <f>VLOOKUP(Counties_by_State_Code[[#This Row],[State_Code]],Territory_by_Code[],2)</f>
        <v>Texas</v>
      </c>
      <c r="C2653" t="s">
        <v>794</v>
      </c>
      <c r="D2653">
        <v>421017</v>
      </c>
      <c r="E2653">
        <v>906</v>
      </c>
    </row>
    <row r="2654" spans="1:5" x14ac:dyDescent="0.25">
      <c r="A2654" t="s">
        <v>1643</v>
      </c>
      <c r="B2654" t="str">
        <f>VLOOKUP(Counties_by_State_Code[[#This Row],[State_Code]],Territory_by_Code[],2)</f>
        <v>Texas</v>
      </c>
      <c r="C2654" t="s">
        <v>1667</v>
      </c>
      <c r="D2654">
        <v>12464</v>
      </c>
      <c r="E2654">
        <v>196</v>
      </c>
    </row>
    <row r="2655" spans="1:5" x14ac:dyDescent="0.25">
      <c r="A2655" t="s">
        <v>1643</v>
      </c>
      <c r="B2655" t="str">
        <f>VLOOKUP(Counties_by_State_Code[[#This Row],[State_Code]],Territory_by_Code[],2)</f>
        <v>Texas</v>
      </c>
      <c r="C2655" t="s">
        <v>1668</v>
      </c>
      <c r="D2655">
        <v>5807</v>
      </c>
      <c r="E2655">
        <v>923</v>
      </c>
    </row>
    <row r="2656" spans="1:5" x14ac:dyDescent="0.25">
      <c r="A2656" t="s">
        <v>1643</v>
      </c>
      <c r="B2656" t="str">
        <f>VLOOKUP(Counties_by_State_Code[[#This Row],[State_Code]],Territory_by_Code[],2)</f>
        <v>Texas</v>
      </c>
      <c r="C2656" t="s">
        <v>522</v>
      </c>
      <c r="D2656">
        <v>28454</v>
      </c>
      <c r="E2656">
        <v>938</v>
      </c>
    </row>
    <row r="2657" spans="1:5" x14ac:dyDescent="0.25">
      <c r="A2657" t="s">
        <v>1643</v>
      </c>
      <c r="B2657" t="str">
        <f>VLOOKUP(Counties_by_State_Code[[#This Row],[State_Code]],Territory_by_Code[],2)</f>
        <v>Texas</v>
      </c>
      <c r="C2657" t="s">
        <v>1669</v>
      </c>
      <c r="D2657">
        <v>7371</v>
      </c>
      <c r="E2657">
        <v>898</v>
      </c>
    </row>
    <row r="2658" spans="1:5" x14ac:dyDescent="0.25">
      <c r="A2658" t="s">
        <v>1643</v>
      </c>
      <c r="B2658" t="str">
        <f>VLOOKUP(Counties_by_State_Code[[#This Row],[State_Code]],Territory_by_Code[],2)</f>
        <v>Texas</v>
      </c>
      <c r="C2658" t="s">
        <v>9</v>
      </c>
      <c r="D2658">
        <v>46571</v>
      </c>
      <c r="E2658">
        <v>599</v>
      </c>
    </row>
    <row r="2659" spans="1:5" x14ac:dyDescent="0.25">
      <c r="A2659" t="s">
        <v>1643</v>
      </c>
      <c r="B2659" t="str">
        <f>VLOOKUP(Counties_by_State_Code[[#This Row],[State_Code]],Territory_by_Code[],2)</f>
        <v>Texas</v>
      </c>
      <c r="C2659" t="s">
        <v>10</v>
      </c>
      <c r="D2659">
        <v>50412</v>
      </c>
      <c r="E2659">
        <v>1052</v>
      </c>
    </row>
    <row r="2660" spans="1:5" x14ac:dyDescent="0.25">
      <c r="A2660" t="s">
        <v>1643</v>
      </c>
      <c r="B2660" t="str">
        <f>VLOOKUP(Counties_by_State_Code[[#This Row],[State_Code]],Territory_by_Code[],2)</f>
        <v>Texas</v>
      </c>
      <c r="C2660" t="s">
        <v>1670</v>
      </c>
      <c r="D2660">
        <v>6664</v>
      </c>
      <c r="E2660">
        <v>710</v>
      </c>
    </row>
    <row r="2661" spans="1:5" x14ac:dyDescent="0.25">
      <c r="A2661" t="s">
        <v>1643</v>
      </c>
      <c r="B2661" t="str">
        <f>VLOOKUP(Counties_by_State_Code[[#This Row],[State_Code]],Territory_by_Code[],2)</f>
        <v>Texas</v>
      </c>
      <c r="C2661" t="s">
        <v>14</v>
      </c>
      <c r="D2661">
        <v>10218</v>
      </c>
      <c r="E2661">
        <v>1098</v>
      </c>
    </row>
    <row r="2662" spans="1:5" x14ac:dyDescent="0.25">
      <c r="A2662" t="s">
        <v>1643</v>
      </c>
      <c r="B2662" t="str">
        <f>VLOOKUP(Counties_by_State_Code[[#This Row],[State_Code]],Territory_by_Code[],2)</f>
        <v>Texas</v>
      </c>
      <c r="C2662" t="s">
        <v>1671</v>
      </c>
      <c r="D2662">
        <v>2547</v>
      </c>
      <c r="E2662">
        <v>775</v>
      </c>
    </row>
    <row r="2663" spans="1:5" x14ac:dyDescent="0.25">
      <c r="A2663" t="s">
        <v>1643</v>
      </c>
      <c r="B2663" t="str">
        <f>VLOOKUP(Counties_by_State_Code[[#This Row],[State_Code]],Territory_by_Code[],2)</f>
        <v>Texas</v>
      </c>
      <c r="C2663" t="s">
        <v>1672</v>
      </c>
      <c r="D2663">
        <v>3285</v>
      </c>
      <c r="E2663">
        <v>899</v>
      </c>
    </row>
    <row r="2664" spans="1:5" x14ac:dyDescent="0.25">
      <c r="A2664" t="s">
        <v>1643</v>
      </c>
      <c r="B2664" t="str">
        <f>VLOOKUP(Counties_by_State_Code[[#This Row],[State_Code]],Territory_by_Code[],2)</f>
        <v>Texas</v>
      </c>
      <c r="C2664" t="s">
        <v>1673</v>
      </c>
      <c r="D2664">
        <v>7684</v>
      </c>
      <c r="E2664">
        <v>1273</v>
      </c>
    </row>
    <row r="2665" spans="1:5" x14ac:dyDescent="0.25">
      <c r="A2665" t="s">
        <v>1643</v>
      </c>
      <c r="B2665" t="str">
        <f>VLOOKUP(Counties_by_State_Code[[#This Row],[State_Code]],Territory_by_Code[],2)</f>
        <v>Texas</v>
      </c>
      <c r="C2665" t="s">
        <v>1674</v>
      </c>
      <c r="D2665">
        <v>1064465</v>
      </c>
      <c r="E2665">
        <v>848</v>
      </c>
    </row>
    <row r="2666" spans="1:5" x14ac:dyDescent="0.25">
      <c r="A2666" t="s">
        <v>1643</v>
      </c>
      <c r="B2666" t="str">
        <f>VLOOKUP(Counties_by_State_Code[[#This Row],[State_Code]],Territory_by_Code[],2)</f>
        <v>Texas</v>
      </c>
      <c r="C2666" t="s">
        <v>1675</v>
      </c>
      <c r="D2666">
        <v>2652</v>
      </c>
      <c r="E2666">
        <v>919</v>
      </c>
    </row>
    <row r="2667" spans="1:5" x14ac:dyDescent="0.25">
      <c r="A2667" t="s">
        <v>1643</v>
      </c>
      <c r="B2667" t="str">
        <f>VLOOKUP(Counties_by_State_Code[[#This Row],[State_Code]],Territory_by_Code[],2)</f>
        <v>Texas</v>
      </c>
      <c r="C2667" t="s">
        <v>1676</v>
      </c>
      <c r="D2667">
        <v>20557</v>
      </c>
      <c r="E2667">
        <v>963</v>
      </c>
    </row>
    <row r="2668" spans="1:5" x14ac:dyDescent="0.25">
      <c r="A2668" t="s">
        <v>1643</v>
      </c>
      <c r="B2668" t="str">
        <f>VLOOKUP(Counties_by_State_Code[[#This Row],[State_Code]],Territory_by_Code[],2)</f>
        <v>Texas</v>
      </c>
      <c r="C2668" t="s">
        <v>1677</v>
      </c>
      <c r="D2668">
        <v>161501</v>
      </c>
      <c r="E2668">
        <v>562</v>
      </c>
    </row>
    <row r="2669" spans="1:5" x14ac:dyDescent="0.25">
      <c r="A2669" t="s">
        <v>1643</v>
      </c>
      <c r="B2669" t="str">
        <f>VLOOKUP(Counties_by_State_Code[[#This Row],[State_Code]],Territory_by_Code[],2)</f>
        <v>Texas</v>
      </c>
      <c r="C2669" t="s">
        <v>670</v>
      </c>
      <c r="D2669">
        <v>13594</v>
      </c>
      <c r="E2669">
        <v>938</v>
      </c>
    </row>
    <row r="2670" spans="1:5" x14ac:dyDescent="0.25">
      <c r="A2670" t="s">
        <v>1643</v>
      </c>
      <c r="B2670" t="str">
        <f>VLOOKUP(Counties_by_State_Code[[#This Row],[State_Code]],Territory_by_Code[],2)</f>
        <v>Texas</v>
      </c>
      <c r="C2670" t="s">
        <v>1678</v>
      </c>
      <c r="D2670">
        <v>3303</v>
      </c>
      <c r="E2670">
        <v>992</v>
      </c>
    </row>
    <row r="2671" spans="1:5" x14ac:dyDescent="0.25">
      <c r="A2671" t="s">
        <v>1643</v>
      </c>
      <c r="B2671" t="str">
        <f>VLOOKUP(Counties_by_State_Code[[#This Row],[State_Code]],Territory_by_Code[],2)</f>
        <v>Texas</v>
      </c>
      <c r="C2671" t="s">
        <v>1679</v>
      </c>
      <c r="D2671">
        <v>41668</v>
      </c>
      <c r="E2671">
        <v>875</v>
      </c>
    </row>
    <row r="2672" spans="1:5" x14ac:dyDescent="0.25">
      <c r="A2672" t="s">
        <v>1643</v>
      </c>
      <c r="B2672" t="str">
        <f>VLOOKUP(Counties_by_State_Code[[#This Row],[State_Code]],Territory_by_Code[],2)</f>
        <v>Texas</v>
      </c>
      <c r="C2672" t="s">
        <v>1680</v>
      </c>
      <c r="D2672">
        <v>83093</v>
      </c>
      <c r="E2672">
        <v>1052</v>
      </c>
    </row>
    <row r="2673" spans="1:5" x14ac:dyDescent="0.25">
      <c r="A2673" t="s">
        <v>1643</v>
      </c>
      <c r="B2673" t="str">
        <f>VLOOKUP(Counties_by_State_Code[[#This Row],[State_Code]],Territory_by_Code[],2)</f>
        <v>Texas</v>
      </c>
      <c r="C2673" t="s">
        <v>1681</v>
      </c>
      <c r="D2673">
        <v>1380</v>
      </c>
      <c r="E2673">
        <v>901</v>
      </c>
    </row>
    <row r="2674" spans="1:5" x14ac:dyDescent="0.25">
      <c r="A2674" t="s">
        <v>1643</v>
      </c>
      <c r="B2674" t="str">
        <f>VLOOKUP(Counties_by_State_Code[[#This Row],[State_Code]],Territory_by_Code[],2)</f>
        <v>Texas</v>
      </c>
      <c r="C2674" t="s">
        <v>1682</v>
      </c>
      <c r="D2674">
        <v>4675</v>
      </c>
      <c r="E2674">
        <v>786</v>
      </c>
    </row>
    <row r="2675" spans="1:5" x14ac:dyDescent="0.25">
      <c r="A2675" t="s">
        <v>1643</v>
      </c>
      <c r="B2675" t="str">
        <f>VLOOKUP(Counties_by_State_Code[[#This Row],[State_Code]],Territory_by_Code[],2)</f>
        <v>Texas</v>
      </c>
      <c r="C2675" t="s">
        <v>1621</v>
      </c>
      <c r="D2675">
        <v>3098</v>
      </c>
      <c r="E2675">
        <v>2808</v>
      </c>
    </row>
    <row r="2676" spans="1:5" x14ac:dyDescent="0.25">
      <c r="A2676" t="s">
        <v>1643</v>
      </c>
      <c r="B2676" t="str">
        <f>VLOOKUP(Counties_by_State_Code[[#This Row],[State_Code]],Territory_by_Code[],2)</f>
        <v>Texas</v>
      </c>
      <c r="C2676" t="s">
        <v>1683</v>
      </c>
      <c r="D2676">
        <v>5133</v>
      </c>
      <c r="E2676">
        <v>900</v>
      </c>
    </row>
    <row r="2677" spans="1:5" x14ac:dyDescent="0.25">
      <c r="A2677" t="s">
        <v>1643</v>
      </c>
      <c r="B2677" t="str">
        <f>VLOOKUP(Counties_by_State_Code[[#This Row],[State_Code]],Territory_by_Code[],2)</f>
        <v>Texas</v>
      </c>
      <c r="C2677" t="s">
        <v>1684</v>
      </c>
      <c r="D2677">
        <v>2188</v>
      </c>
      <c r="E2677">
        <v>3813</v>
      </c>
    </row>
    <row r="2678" spans="1:5" x14ac:dyDescent="0.25">
      <c r="A2678" t="s">
        <v>1643</v>
      </c>
      <c r="B2678" t="str">
        <f>VLOOKUP(Counties_by_State_Code[[#This Row],[State_Code]],Territory_by_Code[],2)</f>
        <v>Texas</v>
      </c>
      <c r="C2678" t="s">
        <v>1685</v>
      </c>
      <c r="D2678">
        <v>7115</v>
      </c>
      <c r="E2678">
        <v>1505</v>
      </c>
    </row>
    <row r="2679" spans="1:5" x14ac:dyDescent="0.25">
      <c r="A2679" t="s">
        <v>1643</v>
      </c>
      <c r="B2679" t="str">
        <f>VLOOKUP(Counties_by_State_Code[[#This Row],[State_Code]],Territory_by_Code[],2)</f>
        <v>Texas</v>
      </c>
      <c r="C2679" t="s">
        <v>24</v>
      </c>
      <c r="D2679">
        <v>2613539</v>
      </c>
      <c r="E2679">
        <v>880</v>
      </c>
    </row>
    <row r="2680" spans="1:5" x14ac:dyDescent="0.25">
      <c r="A2680" t="s">
        <v>1643</v>
      </c>
      <c r="B2680" t="str">
        <f>VLOOKUP(Counties_by_State_Code[[#This Row],[State_Code]],Territory_by_Code[],2)</f>
        <v>Texas</v>
      </c>
      <c r="C2680" t="s">
        <v>397</v>
      </c>
      <c r="D2680">
        <v>12456</v>
      </c>
      <c r="E2680">
        <v>902</v>
      </c>
    </row>
    <row r="2681" spans="1:5" x14ac:dyDescent="0.25">
      <c r="A2681" t="s">
        <v>1643</v>
      </c>
      <c r="B2681" t="str">
        <f>VLOOKUP(Counties_by_State_Code[[#This Row],[State_Code]],Territory_by_Code[],2)</f>
        <v>Texas</v>
      </c>
      <c r="C2681" t="s">
        <v>1686</v>
      </c>
      <c r="D2681">
        <v>18583</v>
      </c>
      <c r="E2681">
        <v>1497</v>
      </c>
    </row>
    <row r="2682" spans="1:5" x14ac:dyDescent="0.25">
      <c r="A2682" t="s">
        <v>1643</v>
      </c>
      <c r="B2682" t="str">
        <f>VLOOKUP(Counties_by_State_Code[[#This Row],[State_Code]],Territory_by_Code[],2)</f>
        <v>Texas</v>
      </c>
      <c r="C2682" t="s">
        <v>252</v>
      </c>
      <c r="D2682">
        <v>5230</v>
      </c>
      <c r="E2682">
        <v>277</v>
      </c>
    </row>
    <row r="2683" spans="1:5" x14ac:dyDescent="0.25">
      <c r="A2683" t="s">
        <v>1643</v>
      </c>
      <c r="B2683" t="str">
        <f>VLOOKUP(Counties_by_State_Code[[#This Row],[State_Code]],Territory_by_Code[],2)</f>
        <v>Texas</v>
      </c>
      <c r="C2683" t="s">
        <v>1687</v>
      </c>
      <c r="D2683">
        <v>906422</v>
      </c>
      <c r="E2683">
        <v>888</v>
      </c>
    </row>
    <row r="2684" spans="1:5" x14ac:dyDescent="0.25">
      <c r="A2684" t="s">
        <v>1643</v>
      </c>
      <c r="B2684" t="str">
        <f>VLOOKUP(Counties_by_State_Code[[#This Row],[State_Code]],Territory_by_Code[],2)</f>
        <v>Texas</v>
      </c>
      <c r="C2684" t="s">
        <v>528</v>
      </c>
      <c r="D2684">
        <v>19824</v>
      </c>
      <c r="E2684">
        <v>909</v>
      </c>
    </row>
    <row r="2685" spans="1:5" x14ac:dyDescent="0.25">
      <c r="A2685" t="s">
        <v>1643</v>
      </c>
      <c r="B2685" t="str">
        <f>VLOOKUP(Counties_by_State_Code[[#This Row],[State_Code]],Territory_by_Code[],2)</f>
        <v>Texas</v>
      </c>
      <c r="C2685" t="s">
        <v>1688</v>
      </c>
      <c r="D2685">
        <v>1770</v>
      </c>
      <c r="E2685">
        <v>904</v>
      </c>
    </row>
    <row r="2686" spans="1:5" x14ac:dyDescent="0.25">
      <c r="A2686" t="s">
        <v>1643</v>
      </c>
      <c r="B2686" t="str">
        <f>VLOOKUP(Counties_by_State_Code[[#This Row],[State_Code]],Territory_by_Code[],2)</f>
        <v>Texas</v>
      </c>
      <c r="C2686" t="s">
        <v>1689</v>
      </c>
      <c r="D2686">
        <v>8615</v>
      </c>
      <c r="E2686">
        <v>1331</v>
      </c>
    </row>
    <row r="2687" spans="1:5" x14ac:dyDescent="0.25">
      <c r="A2687" t="s">
        <v>1643</v>
      </c>
      <c r="B2687" t="str">
        <f>VLOOKUP(Counties_by_State_Code[[#This Row],[State_Code]],Territory_by_Code[],2)</f>
        <v>Texas</v>
      </c>
      <c r="C2687" t="s">
        <v>1690</v>
      </c>
      <c r="D2687">
        <v>3258</v>
      </c>
      <c r="E2687">
        <v>930</v>
      </c>
    </row>
    <row r="2688" spans="1:5" x14ac:dyDescent="0.25">
      <c r="A2688" t="s">
        <v>1643</v>
      </c>
      <c r="B2688" t="str">
        <f>VLOOKUP(Counties_by_State_Code[[#This Row],[State_Code]],Territory_by_Code[],2)</f>
        <v>Texas</v>
      </c>
      <c r="C2688" t="s">
        <v>328</v>
      </c>
      <c r="D2688">
        <v>9831</v>
      </c>
      <c r="E2688">
        <v>1793</v>
      </c>
    </row>
    <row r="2689" spans="1:5" x14ac:dyDescent="0.25">
      <c r="A2689" t="s">
        <v>1643</v>
      </c>
      <c r="B2689" t="str">
        <f>VLOOKUP(Counties_by_State_Code[[#This Row],[State_Code]],Territory_by_Code[],2)</f>
        <v>Texas</v>
      </c>
      <c r="C2689" t="s">
        <v>1691</v>
      </c>
      <c r="D2689">
        <v>17725</v>
      </c>
      <c r="E2689">
        <v>926</v>
      </c>
    </row>
    <row r="2690" spans="1:5" x14ac:dyDescent="0.25">
      <c r="A2690" t="s">
        <v>1643</v>
      </c>
      <c r="B2690" t="str">
        <f>VLOOKUP(Counties_by_State_Code[[#This Row],[State_Code]],Territory_by_Code[],2)</f>
        <v>Texas</v>
      </c>
      <c r="C2690" t="s">
        <v>1692</v>
      </c>
      <c r="D2690">
        <v>165171</v>
      </c>
      <c r="E2690">
        <v>901</v>
      </c>
    </row>
    <row r="2691" spans="1:5" x14ac:dyDescent="0.25">
      <c r="A2691" t="s">
        <v>1643</v>
      </c>
      <c r="B2691" t="str">
        <f>VLOOKUP(Counties_by_State_Code[[#This Row],[State_Code]],Territory_by_Code[],2)</f>
        <v>Texas</v>
      </c>
      <c r="C2691" t="s">
        <v>531</v>
      </c>
      <c r="D2691">
        <v>1422</v>
      </c>
      <c r="E2691">
        <v>2120</v>
      </c>
    </row>
    <row r="2692" spans="1:5" x14ac:dyDescent="0.25">
      <c r="A2692" t="s">
        <v>1643</v>
      </c>
      <c r="B2692" t="str">
        <f>VLOOKUP(Counties_by_State_Code[[#This Row],[State_Code]],Territory_by_Code[],2)</f>
        <v>Texas</v>
      </c>
      <c r="C2692" t="s">
        <v>257</v>
      </c>
      <c r="D2692">
        <v>865657</v>
      </c>
      <c r="E2692">
        <v>1013</v>
      </c>
    </row>
    <row r="2693" spans="1:5" x14ac:dyDescent="0.25">
      <c r="A2693" t="s">
        <v>1643</v>
      </c>
      <c r="B2693" t="str">
        <f>VLOOKUP(Counties_by_State_Code[[#This Row],[State_Code]],Territory_by_Code[],2)</f>
        <v>Texas</v>
      </c>
      <c r="C2693" t="s">
        <v>674</v>
      </c>
      <c r="D2693">
        <v>192455</v>
      </c>
      <c r="E2693">
        <v>940</v>
      </c>
    </row>
    <row r="2694" spans="1:5" x14ac:dyDescent="0.25">
      <c r="A2694" t="s">
        <v>1643</v>
      </c>
      <c r="B2694" t="str">
        <f>VLOOKUP(Counties_by_State_Code[[#This Row],[State_Code]],Territory_by_Code[],2)</f>
        <v>Texas</v>
      </c>
      <c r="C2694" t="s">
        <v>1693</v>
      </c>
      <c r="D2694">
        <v>42545</v>
      </c>
      <c r="E2694">
        <v>1086</v>
      </c>
    </row>
    <row r="2695" spans="1:5" x14ac:dyDescent="0.25">
      <c r="A2695" t="s">
        <v>1643</v>
      </c>
      <c r="B2695" t="str">
        <f>VLOOKUP(Counties_by_State_Code[[#This Row],[State_Code]],Territory_by_Code[],2)</f>
        <v>Texas</v>
      </c>
      <c r="C2695" t="s">
        <v>1694</v>
      </c>
      <c r="D2695">
        <v>16968</v>
      </c>
      <c r="E2695">
        <v>769</v>
      </c>
    </row>
    <row r="2696" spans="1:5" x14ac:dyDescent="0.25">
      <c r="A2696" t="s">
        <v>1643</v>
      </c>
      <c r="B2696" t="str">
        <f>VLOOKUP(Counties_by_State_Code[[#This Row],[State_Code]],Territory_by_Code[],2)</f>
        <v>Texas</v>
      </c>
      <c r="C2696" t="s">
        <v>407</v>
      </c>
      <c r="D2696">
        <v>35662</v>
      </c>
      <c r="E2696">
        <v>892</v>
      </c>
    </row>
    <row r="2697" spans="1:5" x14ac:dyDescent="0.25">
      <c r="A2697" t="s">
        <v>1643</v>
      </c>
      <c r="B2697" t="str">
        <f>VLOOKUP(Counties_by_State_Code[[#This Row],[State_Code]],Territory_by_Code[],2)</f>
        <v>Texas</v>
      </c>
      <c r="C2697" t="s">
        <v>29</v>
      </c>
      <c r="D2697">
        <v>24435</v>
      </c>
      <c r="E2697">
        <v>950</v>
      </c>
    </row>
    <row r="2698" spans="1:5" x14ac:dyDescent="0.25">
      <c r="A2698" t="s">
        <v>1643</v>
      </c>
      <c r="B2698" t="str">
        <f>VLOOKUP(Counties_by_State_Code[[#This Row],[State_Code]],Territory_by_Code[],2)</f>
        <v>Texas</v>
      </c>
      <c r="C2698" t="s">
        <v>1695</v>
      </c>
      <c r="D2698">
        <v>3672</v>
      </c>
      <c r="E2698">
        <v>901</v>
      </c>
    </row>
    <row r="2699" spans="1:5" x14ac:dyDescent="0.25">
      <c r="A2699" t="s">
        <v>1643</v>
      </c>
      <c r="B2699" t="str">
        <f>VLOOKUP(Counties_by_State_Code[[#This Row],[State_Code]],Territory_by_Code[],2)</f>
        <v>Texas</v>
      </c>
      <c r="C2699" t="s">
        <v>408</v>
      </c>
      <c r="D2699">
        <v>5402</v>
      </c>
      <c r="E2699">
        <v>992</v>
      </c>
    </row>
    <row r="2700" spans="1:5" x14ac:dyDescent="0.25">
      <c r="A2700" t="s">
        <v>1643</v>
      </c>
      <c r="B2700" t="str">
        <f>VLOOKUP(Counties_by_State_Code[[#This Row],[State_Code]],Territory_by_Code[],2)</f>
        <v>Texas</v>
      </c>
      <c r="C2700" t="s">
        <v>1696</v>
      </c>
      <c r="D2700">
        <v>1095</v>
      </c>
      <c r="E2700">
        <v>707</v>
      </c>
    </row>
    <row r="2701" spans="1:5" x14ac:dyDescent="0.25">
      <c r="A2701" t="s">
        <v>1643</v>
      </c>
      <c r="B2701" t="str">
        <f>VLOOKUP(Counties_by_State_Code[[#This Row],[State_Code]],Territory_by_Code[],2)</f>
        <v>Texas</v>
      </c>
      <c r="C2701" t="s">
        <v>1697</v>
      </c>
      <c r="D2701">
        <v>822779</v>
      </c>
      <c r="E2701">
        <v>875</v>
      </c>
    </row>
    <row r="2702" spans="1:5" x14ac:dyDescent="0.25">
      <c r="A2702" t="s">
        <v>1643</v>
      </c>
      <c r="B2702" t="str">
        <f>VLOOKUP(Counties_by_State_Code[[#This Row],[State_Code]],Territory_by_Code[],2)</f>
        <v>Texas</v>
      </c>
      <c r="C2702" t="s">
        <v>30</v>
      </c>
      <c r="D2702">
        <v>10359</v>
      </c>
      <c r="E2702">
        <v>286</v>
      </c>
    </row>
    <row r="2703" spans="1:5" x14ac:dyDescent="0.25">
      <c r="A2703" t="s">
        <v>1643</v>
      </c>
      <c r="B2703" t="str">
        <f>VLOOKUP(Counties_by_State_Code[[#This Row],[State_Code]],Territory_by_Code[],2)</f>
        <v>Texas</v>
      </c>
      <c r="C2703" t="s">
        <v>1698</v>
      </c>
      <c r="D2703">
        <v>19435</v>
      </c>
      <c r="E2703">
        <v>885</v>
      </c>
    </row>
    <row r="2704" spans="1:5" x14ac:dyDescent="0.25">
      <c r="A2704" t="s">
        <v>1643</v>
      </c>
      <c r="B2704" t="str">
        <f>VLOOKUP(Counties_by_State_Code[[#This Row],[State_Code]],Territory_by_Code[],2)</f>
        <v>Texas</v>
      </c>
      <c r="C2704" t="s">
        <v>1699</v>
      </c>
      <c r="D2704">
        <v>18385</v>
      </c>
      <c r="E2704">
        <v>1133</v>
      </c>
    </row>
    <row r="2705" spans="1:5" x14ac:dyDescent="0.25">
      <c r="A2705" t="s">
        <v>1643</v>
      </c>
      <c r="B2705" t="str">
        <f>VLOOKUP(Counties_by_State_Code[[#This Row],[State_Code]],Territory_by_Code[],2)</f>
        <v>Texas</v>
      </c>
      <c r="C2705" t="s">
        <v>1700</v>
      </c>
      <c r="D2705">
        <v>21598</v>
      </c>
      <c r="E2705">
        <v>1502</v>
      </c>
    </row>
    <row r="2706" spans="1:5" x14ac:dyDescent="0.25">
      <c r="A2706" t="s">
        <v>1643</v>
      </c>
      <c r="B2706" t="str">
        <f>VLOOKUP(Counties_by_State_Code[[#This Row],[State_Code]],Territory_by_Code[],2)</f>
        <v>Texas</v>
      </c>
      <c r="C2706" t="s">
        <v>1701</v>
      </c>
      <c r="D2706">
        <v>350682</v>
      </c>
      <c r="E2706">
        <v>399</v>
      </c>
    </row>
    <row r="2707" spans="1:5" x14ac:dyDescent="0.25">
      <c r="A2707" t="s">
        <v>1643</v>
      </c>
      <c r="B2707" t="str">
        <f>VLOOKUP(Counties_by_State_Code[[#This Row],[State_Code]],Territory_by_Code[],2)</f>
        <v>Texas</v>
      </c>
      <c r="C2707" t="s">
        <v>1702</v>
      </c>
      <c r="D2707">
        <v>5816</v>
      </c>
      <c r="E2707">
        <v>896</v>
      </c>
    </row>
    <row r="2708" spans="1:5" x14ac:dyDescent="0.25">
      <c r="A2708" t="s">
        <v>1643</v>
      </c>
      <c r="B2708" t="str">
        <f>VLOOKUP(Counties_by_State_Code[[#This Row],[State_Code]],Territory_by_Code[],2)</f>
        <v>Texas</v>
      </c>
      <c r="C2708" t="s">
        <v>1703</v>
      </c>
      <c r="D2708">
        <v>26725</v>
      </c>
      <c r="E2708">
        <v>1061</v>
      </c>
    </row>
    <row r="2709" spans="1:5" x14ac:dyDescent="0.25">
      <c r="A2709" t="s">
        <v>1643</v>
      </c>
      <c r="B2709" t="str">
        <f>VLOOKUP(Counties_by_State_Code[[#This Row],[State_Code]],Territory_by_Code[],2)</f>
        <v>Texas</v>
      </c>
      <c r="C2709" t="s">
        <v>1704</v>
      </c>
      <c r="D2709">
        <v>1116</v>
      </c>
      <c r="E2709">
        <v>901</v>
      </c>
    </row>
    <row r="2710" spans="1:5" x14ac:dyDescent="0.25">
      <c r="A2710" t="s">
        <v>1643</v>
      </c>
      <c r="B2710" t="str">
        <f>VLOOKUP(Counties_by_State_Code[[#This Row],[State_Code]],Territory_by_Code[],2)</f>
        <v>Texas</v>
      </c>
      <c r="C2710" t="s">
        <v>1705</v>
      </c>
      <c r="D2710">
        <v>7012</v>
      </c>
      <c r="E2710">
        <v>854</v>
      </c>
    </row>
    <row r="2711" spans="1:5" x14ac:dyDescent="0.25">
      <c r="A2711" t="s">
        <v>1643</v>
      </c>
      <c r="B2711" t="str">
        <f>VLOOKUP(Counties_by_State_Code[[#This Row],[State_Code]],Territory_by_Code[],2)</f>
        <v>Texas</v>
      </c>
      <c r="C2711" t="s">
        <v>1706</v>
      </c>
      <c r="D2711">
        <v>19653</v>
      </c>
      <c r="E2711">
        <v>1068</v>
      </c>
    </row>
    <row r="2712" spans="1:5" x14ac:dyDescent="0.25">
      <c r="A2712" t="s">
        <v>1643</v>
      </c>
      <c r="B2712" t="str">
        <f>VLOOKUP(Counties_by_State_Code[[#This Row],[State_Code]],Territory_by_Code[],2)</f>
        <v>Texas</v>
      </c>
      <c r="C2712" t="s">
        <v>679</v>
      </c>
      <c r="D2712">
        <v>21227</v>
      </c>
      <c r="E2712">
        <v>928</v>
      </c>
    </row>
    <row r="2713" spans="1:5" x14ac:dyDescent="0.25">
      <c r="A2713" t="s">
        <v>1643</v>
      </c>
      <c r="B2713" t="str">
        <f>VLOOKUP(Counties_by_State_Code[[#This Row],[State_Code]],Territory_by_Code[],2)</f>
        <v>Texas</v>
      </c>
      <c r="C2713" t="s">
        <v>751</v>
      </c>
      <c r="D2713">
        <v>135543</v>
      </c>
      <c r="E2713">
        <v>934</v>
      </c>
    </row>
    <row r="2714" spans="1:5" x14ac:dyDescent="0.25">
      <c r="A2714" t="s">
        <v>1643</v>
      </c>
      <c r="B2714" t="str">
        <f>VLOOKUP(Counties_by_State_Code[[#This Row],[State_Code]],Territory_by_Code[],2)</f>
        <v>Texas</v>
      </c>
      <c r="C2714" t="s">
        <v>1707</v>
      </c>
      <c r="D2714">
        <v>124239</v>
      </c>
      <c r="E2714">
        <v>274</v>
      </c>
    </row>
    <row r="2715" spans="1:5" x14ac:dyDescent="0.25">
      <c r="A2715" t="s">
        <v>1643</v>
      </c>
      <c r="B2715" t="str">
        <f>VLOOKUP(Counties_by_State_Code[[#This Row],[State_Code]],Territory_by_Code[],2)</f>
        <v>Texas</v>
      </c>
      <c r="C2715" t="s">
        <v>1708</v>
      </c>
      <c r="D2715">
        <v>29268</v>
      </c>
      <c r="E2715">
        <v>794</v>
      </c>
    </row>
    <row r="2716" spans="1:5" x14ac:dyDescent="0.25">
      <c r="A2716" t="s">
        <v>1643</v>
      </c>
      <c r="B2716" t="str">
        <f>VLOOKUP(Counties_by_State_Code[[#This Row],[State_Code]],Territory_by_Code[],2)</f>
        <v>Texas</v>
      </c>
      <c r="C2716" t="s">
        <v>1191</v>
      </c>
      <c r="D2716">
        <v>172706</v>
      </c>
      <c r="E2716">
        <v>711</v>
      </c>
    </row>
    <row r="2717" spans="1:5" x14ac:dyDescent="0.25">
      <c r="A2717" t="s">
        <v>1643</v>
      </c>
      <c r="B2717" t="str">
        <f>VLOOKUP(Counties_by_State_Code[[#This Row],[State_Code]],Territory_by_Code[],2)</f>
        <v>Texas</v>
      </c>
      <c r="C2717" t="s">
        <v>33</v>
      </c>
      <c r="D2717">
        <v>32522</v>
      </c>
      <c r="E2717">
        <v>1005</v>
      </c>
    </row>
    <row r="2718" spans="1:5" x14ac:dyDescent="0.25">
      <c r="A2718" t="s">
        <v>1643</v>
      </c>
      <c r="B2718" t="str">
        <f>VLOOKUP(Counties_by_State_Code[[#This Row],[State_Code]],Territory_by_Code[],2)</f>
        <v>Texas</v>
      </c>
      <c r="C2718" t="s">
        <v>417</v>
      </c>
      <c r="D2718">
        <v>2825</v>
      </c>
      <c r="E2718">
        <v>903</v>
      </c>
    </row>
    <row r="2719" spans="1:5" x14ac:dyDescent="0.25">
      <c r="A2719" t="s">
        <v>1643</v>
      </c>
      <c r="B2719" t="str">
        <f>VLOOKUP(Counties_by_State_Code[[#This Row],[State_Code]],Territory_by_Code[],2)</f>
        <v>Texas</v>
      </c>
      <c r="C2719" t="s">
        <v>334</v>
      </c>
      <c r="D2719">
        <v>8222</v>
      </c>
      <c r="E2719">
        <v>836</v>
      </c>
    </row>
    <row r="2720" spans="1:5" x14ac:dyDescent="0.25">
      <c r="A2720" t="s">
        <v>1643</v>
      </c>
      <c r="B2720" t="str">
        <f>VLOOKUP(Counties_by_State_Code[[#This Row],[State_Code]],Territory_by_Code[],2)</f>
        <v>Texas</v>
      </c>
      <c r="C2720" t="s">
        <v>1709</v>
      </c>
      <c r="D2720">
        <v>5285</v>
      </c>
      <c r="E2720">
        <v>920</v>
      </c>
    </row>
    <row r="2721" spans="1:5" x14ac:dyDescent="0.25">
      <c r="A2721" t="s">
        <v>1643</v>
      </c>
      <c r="B2721" t="str">
        <f>VLOOKUP(Counties_by_State_Code[[#This Row],[State_Code]],Territory_by_Code[],2)</f>
        <v>Texas</v>
      </c>
      <c r="C2721" t="s">
        <v>1628</v>
      </c>
      <c r="D2721">
        <v>3549</v>
      </c>
      <c r="E2721">
        <v>695</v>
      </c>
    </row>
    <row r="2722" spans="1:5" x14ac:dyDescent="0.25">
      <c r="A2722" t="s">
        <v>1643</v>
      </c>
      <c r="B2722" t="str">
        <f>VLOOKUP(Counties_by_State_Code[[#This Row],[State_Code]],Territory_by_Code[],2)</f>
        <v>Texas</v>
      </c>
      <c r="C2722" t="s">
        <v>535</v>
      </c>
      <c r="D2722">
        <v>56231</v>
      </c>
      <c r="E2722">
        <v>894</v>
      </c>
    </row>
    <row r="2723" spans="1:5" x14ac:dyDescent="0.25">
      <c r="A2723" t="s">
        <v>1643</v>
      </c>
      <c r="B2723" t="str">
        <f>VLOOKUP(Counties_by_State_Code[[#This Row],[State_Code]],Territory_by_Code[],2)</f>
        <v>Texas</v>
      </c>
      <c r="C2723" t="s">
        <v>420</v>
      </c>
      <c r="D2723">
        <v>4731145</v>
      </c>
      <c r="E2723">
        <v>1729</v>
      </c>
    </row>
    <row r="2724" spans="1:5" x14ac:dyDescent="0.25">
      <c r="A2724" t="s">
        <v>1643</v>
      </c>
      <c r="B2724" t="str">
        <f>VLOOKUP(Counties_by_State_Code[[#This Row],[State_Code]],Territory_by_Code[],2)</f>
        <v>Texas</v>
      </c>
      <c r="C2724" t="s">
        <v>583</v>
      </c>
      <c r="D2724">
        <v>68839</v>
      </c>
      <c r="E2724">
        <v>899</v>
      </c>
    </row>
    <row r="2725" spans="1:5" x14ac:dyDescent="0.25">
      <c r="A2725" t="s">
        <v>1643</v>
      </c>
      <c r="B2725" t="str">
        <f>VLOOKUP(Counties_by_State_Code[[#This Row],[State_Code]],Territory_by_Code[],2)</f>
        <v>Texas</v>
      </c>
      <c r="C2725" t="s">
        <v>1710</v>
      </c>
      <c r="D2725">
        <v>5382</v>
      </c>
      <c r="E2725">
        <v>1462</v>
      </c>
    </row>
    <row r="2726" spans="1:5" x14ac:dyDescent="0.25">
      <c r="A2726" t="s">
        <v>1643</v>
      </c>
      <c r="B2726" t="str">
        <f>VLOOKUP(Counties_by_State_Code[[#This Row],[State_Code]],Territory_by_Code[],2)</f>
        <v>Texas</v>
      </c>
      <c r="C2726" t="s">
        <v>684</v>
      </c>
      <c r="D2726">
        <v>5416</v>
      </c>
      <c r="E2726">
        <v>903</v>
      </c>
    </row>
    <row r="2727" spans="1:5" x14ac:dyDescent="0.25">
      <c r="A2727" t="s">
        <v>1643</v>
      </c>
      <c r="B2727" t="str">
        <f>VLOOKUP(Counties_by_State_Code[[#This Row],[State_Code]],Territory_by_Code[],2)</f>
        <v>Texas</v>
      </c>
      <c r="C2727" t="s">
        <v>1711</v>
      </c>
      <c r="D2727">
        <v>241067</v>
      </c>
      <c r="E2727">
        <v>678</v>
      </c>
    </row>
    <row r="2728" spans="1:5" x14ac:dyDescent="0.25">
      <c r="A2728" t="s">
        <v>1643</v>
      </c>
      <c r="B2728" t="str">
        <f>VLOOKUP(Counties_by_State_Code[[#This Row],[State_Code]],Territory_by_Code[],2)</f>
        <v>Texas</v>
      </c>
      <c r="C2728" t="s">
        <v>1712</v>
      </c>
      <c r="D2728">
        <v>3382</v>
      </c>
      <c r="E2728">
        <v>910</v>
      </c>
    </row>
    <row r="2729" spans="1:5" x14ac:dyDescent="0.25">
      <c r="A2729" t="s">
        <v>1643</v>
      </c>
      <c r="B2729" t="str">
        <f>VLOOKUP(Counties_by_State_Code[[#This Row],[State_Code]],Territory_by_Code[],2)</f>
        <v>Texas</v>
      </c>
      <c r="C2729" t="s">
        <v>536</v>
      </c>
      <c r="D2729">
        <v>82150</v>
      </c>
      <c r="E2729">
        <v>874</v>
      </c>
    </row>
    <row r="2730" spans="1:5" x14ac:dyDescent="0.25">
      <c r="A2730" t="s">
        <v>1643</v>
      </c>
      <c r="B2730" t="str">
        <f>VLOOKUP(Counties_by_State_Code[[#This Row],[State_Code]],Territory_by_Code[],2)</f>
        <v>Texas</v>
      </c>
      <c r="C2730" t="s">
        <v>1193</v>
      </c>
      <c r="D2730">
        <v>870781</v>
      </c>
      <c r="E2730">
        <v>1569</v>
      </c>
    </row>
    <row r="2731" spans="1:5" x14ac:dyDescent="0.25">
      <c r="A2731" t="s">
        <v>1643</v>
      </c>
      <c r="B2731" t="str">
        <f>VLOOKUP(Counties_by_State_Code[[#This Row],[State_Code]],Territory_by_Code[],2)</f>
        <v>Texas</v>
      </c>
      <c r="C2731" t="s">
        <v>1087</v>
      </c>
      <c r="D2731">
        <v>35874</v>
      </c>
      <c r="E2731">
        <v>962</v>
      </c>
    </row>
    <row r="2732" spans="1:5" x14ac:dyDescent="0.25">
      <c r="A2732" t="s">
        <v>1643</v>
      </c>
      <c r="B2732" t="str">
        <f>VLOOKUP(Counties_by_State_Code[[#This Row],[State_Code]],Territory_by_Code[],2)</f>
        <v>Texas</v>
      </c>
      <c r="C2732" t="s">
        <v>1713</v>
      </c>
      <c r="D2732">
        <v>21537</v>
      </c>
      <c r="E2732">
        <v>908</v>
      </c>
    </row>
    <row r="2733" spans="1:5" x14ac:dyDescent="0.25">
      <c r="A2733" t="s">
        <v>1643</v>
      </c>
      <c r="B2733" t="str">
        <f>VLOOKUP(Counties_by_State_Code[[#This Row],[State_Code]],Territory_by_Code[],2)</f>
        <v>Texas</v>
      </c>
      <c r="C2733" t="s">
        <v>1714</v>
      </c>
      <c r="D2733">
        <v>61598</v>
      </c>
      <c r="E2733">
        <v>422</v>
      </c>
    </row>
    <row r="2734" spans="1:5" x14ac:dyDescent="0.25">
      <c r="A2734" t="s">
        <v>1643</v>
      </c>
      <c r="B2734" t="str">
        <f>VLOOKUP(Counties_by_State_Code[[#This Row],[State_Code]],Territory_by_Code[],2)</f>
        <v>Texas</v>
      </c>
      <c r="C2734" t="s">
        <v>756</v>
      </c>
      <c r="D2734">
        <v>36787</v>
      </c>
      <c r="E2734">
        <v>785</v>
      </c>
    </row>
    <row r="2735" spans="1:5" x14ac:dyDescent="0.25">
      <c r="A2735" t="s">
        <v>1643</v>
      </c>
      <c r="B2735" t="str">
        <f>VLOOKUP(Counties_by_State_Code[[#This Row],[State_Code]],Territory_by_Code[],2)</f>
        <v>Texas</v>
      </c>
      <c r="C2735" t="s">
        <v>35</v>
      </c>
      <c r="D2735">
        <v>22066</v>
      </c>
      <c r="E2735">
        <v>1231</v>
      </c>
    </row>
    <row r="2736" spans="1:5" x14ac:dyDescent="0.25">
      <c r="A2736" t="s">
        <v>1643</v>
      </c>
      <c r="B2736" t="str">
        <f>VLOOKUP(Counties_by_State_Code[[#This Row],[State_Code]],Territory_by_Code[],2)</f>
        <v>Texas</v>
      </c>
      <c r="C2736" t="s">
        <v>146</v>
      </c>
      <c r="D2736">
        <v>34860</v>
      </c>
      <c r="E2736">
        <v>903</v>
      </c>
    </row>
    <row r="2737" spans="1:5" x14ac:dyDescent="0.25">
      <c r="A2737" t="s">
        <v>1643</v>
      </c>
      <c r="B2737" t="str">
        <f>VLOOKUP(Counties_by_State_Code[[#This Row],[State_Code]],Territory_by_Code[],2)</f>
        <v>Texas</v>
      </c>
      <c r="C2737" t="s">
        <v>1715</v>
      </c>
      <c r="D2737">
        <v>3202</v>
      </c>
      <c r="E2737">
        <v>4571</v>
      </c>
    </row>
    <row r="2738" spans="1:5" x14ac:dyDescent="0.25">
      <c r="A2738" t="s">
        <v>1643</v>
      </c>
      <c r="B2738" t="str">
        <f>VLOOKUP(Counties_by_State_Code[[#This Row],[State_Code]],Territory_by_Code[],2)</f>
        <v>Texas</v>
      </c>
      <c r="C2738" t="s">
        <v>1716</v>
      </c>
      <c r="D2738">
        <v>99956</v>
      </c>
      <c r="E2738">
        <v>841</v>
      </c>
    </row>
    <row r="2739" spans="1:5" x14ac:dyDescent="0.25">
      <c r="A2739" t="s">
        <v>1643</v>
      </c>
      <c r="B2739" t="str">
        <f>VLOOKUP(Counties_by_State_Code[[#This Row],[State_Code]],Territory_by_Code[],2)</f>
        <v>Texas</v>
      </c>
      <c r="C2739" t="s">
        <v>1597</v>
      </c>
      <c r="D2739">
        <v>20617</v>
      </c>
      <c r="E2739">
        <v>887</v>
      </c>
    </row>
    <row r="2740" spans="1:5" x14ac:dyDescent="0.25">
      <c r="A2740" t="s">
        <v>1643</v>
      </c>
      <c r="B2740" t="str">
        <f>VLOOKUP(Counties_by_State_Code[[#This Row],[State_Code]],Territory_by_Code[],2)</f>
        <v>Texas</v>
      </c>
      <c r="C2740" t="s">
        <v>1717</v>
      </c>
      <c r="D2740">
        <v>1513</v>
      </c>
      <c r="E2740">
        <v>1052</v>
      </c>
    </row>
    <row r="2741" spans="1:5" x14ac:dyDescent="0.25">
      <c r="A2741" t="s">
        <v>1643</v>
      </c>
      <c r="B2741" t="str">
        <f>VLOOKUP(Counties_by_State_Code[[#This Row],[State_Code]],Territory_by_Code[],2)</f>
        <v>Texas</v>
      </c>
      <c r="C2741" t="s">
        <v>1718</v>
      </c>
      <c r="D2741">
        <v>8472</v>
      </c>
      <c r="E2741">
        <v>917</v>
      </c>
    </row>
    <row r="2742" spans="1:5" x14ac:dyDescent="0.25">
      <c r="A2742" t="s">
        <v>1643</v>
      </c>
      <c r="B2742" t="str">
        <f>VLOOKUP(Counties_by_State_Code[[#This Row],[State_Code]],Territory_by_Code[],2)</f>
        <v>Texas</v>
      </c>
      <c r="C2742" t="s">
        <v>36</v>
      </c>
      <c r="D2742">
        <v>14988</v>
      </c>
      <c r="E2742">
        <v>830</v>
      </c>
    </row>
    <row r="2743" spans="1:5" x14ac:dyDescent="0.25">
      <c r="A2743" t="s">
        <v>1643</v>
      </c>
      <c r="B2743" t="str">
        <f>VLOOKUP(Counties_by_State_Code[[#This Row],[State_Code]],Territory_by_Code[],2)</f>
        <v>Texas</v>
      </c>
      <c r="C2743" t="s">
        <v>424</v>
      </c>
      <c r="D2743">
        <v>32980</v>
      </c>
      <c r="E2743">
        <v>938</v>
      </c>
    </row>
    <row r="2744" spans="1:5" x14ac:dyDescent="0.25">
      <c r="A2744" t="s">
        <v>1643</v>
      </c>
      <c r="B2744" t="str">
        <f>VLOOKUP(Counties_by_State_Code[[#This Row],[State_Code]],Territory_by_Code[],2)</f>
        <v>Texas</v>
      </c>
      <c r="C2744" t="s">
        <v>425</v>
      </c>
      <c r="D2744">
        <v>1996</v>
      </c>
      <c r="E2744">
        <v>2265</v>
      </c>
    </row>
    <row r="2745" spans="1:5" x14ac:dyDescent="0.25">
      <c r="A2745" t="s">
        <v>1643</v>
      </c>
      <c r="B2745" t="str">
        <f>VLOOKUP(Counties_by_State_Code[[#This Row],[State_Code]],Territory_by_Code[],2)</f>
        <v>Texas</v>
      </c>
      <c r="C2745" t="s">
        <v>37</v>
      </c>
      <c r="D2745">
        <v>256526</v>
      </c>
      <c r="E2745">
        <v>904</v>
      </c>
    </row>
    <row r="2746" spans="1:5" x14ac:dyDescent="0.25">
      <c r="A2746" t="s">
        <v>1643</v>
      </c>
      <c r="B2746" t="str">
        <f>VLOOKUP(Counties_by_State_Code[[#This Row],[State_Code]],Territory_by_Code[],2)</f>
        <v>Texas</v>
      </c>
      <c r="C2746" t="s">
        <v>1719</v>
      </c>
      <c r="D2746">
        <v>4838</v>
      </c>
      <c r="E2746">
        <v>1136</v>
      </c>
    </row>
    <row r="2747" spans="1:5" x14ac:dyDescent="0.25">
      <c r="A2747" t="s">
        <v>1643</v>
      </c>
      <c r="B2747" t="str">
        <f>VLOOKUP(Counties_by_State_Code[[#This Row],[State_Code]],Territory_by_Code[],2)</f>
        <v>Texas</v>
      </c>
      <c r="C2747" t="s">
        <v>1720</v>
      </c>
      <c r="D2747">
        <v>38891</v>
      </c>
      <c r="E2747">
        <v>865</v>
      </c>
    </row>
    <row r="2748" spans="1:5" x14ac:dyDescent="0.25">
      <c r="A2748" t="s">
        <v>1643</v>
      </c>
      <c r="B2748" t="str">
        <f>VLOOKUP(Counties_by_State_Code[[#This Row],[State_Code]],Territory_by_Code[],2)</f>
        <v>Texas</v>
      </c>
      <c r="C2748" t="s">
        <v>149</v>
      </c>
      <c r="D2748">
        <v>179927</v>
      </c>
      <c r="E2748">
        <v>729</v>
      </c>
    </row>
    <row r="2749" spans="1:5" x14ac:dyDescent="0.25">
      <c r="A2749" t="s">
        <v>1643</v>
      </c>
      <c r="B2749" t="str">
        <f>VLOOKUP(Counties_by_State_Code[[#This Row],[State_Code]],Territory_by_Code[],2)</f>
        <v>Texas</v>
      </c>
      <c r="C2749" t="s">
        <v>427</v>
      </c>
      <c r="D2749">
        <v>19663</v>
      </c>
      <c r="E2749">
        <v>931</v>
      </c>
    </row>
    <row r="2750" spans="1:5" x14ac:dyDescent="0.25">
      <c r="A2750" t="s">
        <v>1643</v>
      </c>
      <c r="B2750" t="str">
        <f>VLOOKUP(Counties_by_State_Code[[#This Row],[State_Code]],Territory_by_Code[],2)</f>
        <v>Texas</v>
      </c>
      <c r="C2750" t="s">
        <v>1721</v>
      </c>
      <c r="D2750">
        <v>14710</v>
      </c>
      <c r="E2750">
        <v>750</v>
      </c>
    </row>
    <row r="2751" spans="1:5" x14ac:dyDescent="0.25">
      <c r="A2751" t="s">
        <v>1643</v>
      </c>
      <c r="B2751" t="str">
        <f>VLOOKUP(Counties_by_State_Code[[#This Row],[State_Code]],Territory_by_Code[],2)</f>
        <v>Texas</v>
      </c>
      <c r="C2751" t="s">
        <v>1722</v>
      </c>
      <c r="D2751">
        <v>145310</v>
      </c>
      <c r="E2751">
        <v>786</v>
      </c>
    </row>
    <row r="2752" spans="1:5" x14ac:dyDescent="0.25">
      <c r="A2752" t="s">
        <v>1643</v>
      </c>
      <c r="B2752" t="str">
        <f>VLOOKUP(Counties_by_State_Code[[#This Row],[State_Code]],Territory_by_Code[],2)</f>
        <v>Texas</v>
      </c>
      <c r="C2752" t="s">
        <v>542</v>
      </c>
      <c r="D2752">
        <v>44279</v>
      </c>
      <c r="E2752">
        <v>662</v>
      </c>
    </row>
    <row r="2753" spans="1:5" x14ac:dyDescent="0.25">
      <c r="A2753" t="s">
        <v>1643</v>
      </c>
      <c r="B2753" t="str">
        <f>VLOOKUP(Counties_by_State_Code[[#This Row],[State_Code]],Territory_by_Code[],2)</f>
        <v>Texas</v>
      </c>
      <c r="C2753" t="s">
        <v>1723</v>
      </c>
      <c r="D2753">
        <v>350</v>
      </c>
      <c r="E2753">
        <v>1457</v>
      </c>
    </row>
    <row r="2754" spans="1:5" x14ac:dyDescent="0.25">
      <c r="A2754" t="s">
        <v>1643</v>
      </c>
      <c r="B2754" t="str">
        <f>VLOOKUP(Counties_by_State_Code[[#This Row],[State_Code]],Territory_by_Code[],2)</f>
        <v>Texas</v>
      </c>
      <c r="C2754" t="s">
        <v>310</v>
      </c>
      <c r="D2754">
        <v>753</v>
      </c>
      <c r="E2754">
        <v>902</v>
      </c>
    </row>
    <row r="2755" spans="1:5" x14ac:dyDescent="0.25">
      <c r="A2755" t="s">
        <v>1643</v>
      </c>
      <c r="B2755" t="str">
        <f>VLOOKUP(Counties_by_State_Code[[#This Row],[State_Code]],Territory_by_Code[],2)</f>
        <v>Texas</v>
      </c>
      <c r="C2755" t="s">
        <v>1724</v>
      </c>
      <c r="D2755">
        <v>52598</v>
      </c>
      <c r="E2755">
        <v>1106</v>
      </c>
    </row>
    <row r="2756" spans="1:5" x14ac:dyDescent="0.25">
      <c r="A2756" t="s">
        <v>1643</v>
      </c>
      <c r="B2756" t="str">
        <f>VLOOKUP(Counties_by_State_Code[[#This Row],[State_Code]],Territory_by_Code[],2)</f>
        <v>Texas</v>
      </c>
      <c r="C2756" t="s">
        <v>1725</v>
      </c>
      <c r="D2756">
        <v>4286</v>
      </c>
      <c r="E2756">
        <v>1251</v>
      </c>
    </row>
    <row r="2757" spans="1:5" x14ac:dyDescent="0.25">
      <c r="A2757" t="s">
        <v>1643</v>
      </c>
      <c r="B2757" t="str">
        <f>VLOOKUP(Counties_by_State_Code[[#This Row],[State_Code]],Territory_by_Code[],2)</f>
        <v>Texas</v>
      </c>
      <c r="C2757" t="s">
        <v>1726</v>
      </c>
      <c r="D2757">
        <v>265</v>
      </c>
      <c r="E2757">
        <v>912</v>
      </c>
    </row>
    <row r="2758" spans="1:5" x14ac:dyDescent="0.25">
      <c r="A2758" t="s">
        <v>1643</v>
      </c>
      <c r="B2758" t="str">
        <f>VLOOKUP(Counties_by_State_Code[[#This Row],[State_Code]],Territory_by_Code[],2)</f>
        <v>Texas</v>
      </c>
      <c r="C2758" t="s">
        <v>1727</v>
      </c>
      <c r="D2758">
        <v>3129</v>
      </c>
      <c r="E2758">
        <v>1364</v>
      </c>
    </row>
    <row r="2759" spans="1:5" x14ac:dyDescent="0.25">
      <c r="A2759" t="s">
        <v>1643</v>
      </c>
      <c r="B2759" t="str">
        <f>VLOOKUP(Counties_by_State_Code[[#This Row],[State_Code]],Territory_by_Code[],2)</f>
        <v>Texas</v>
      </c>
      <c r="C2759" t="s">
        <v>1728</v>
      </c>
      <c r="D2759">
        <v>31040</v>
      </c>
      <c r="E2759">
        <v>871</v>
      </c>
    </row>
    <row r="2760" spans="1:5" x14ac:dyDescent="0.25">
      <c r="A2760" t="s">
        <v>1643</v>
      </c>
      <c r="B2760" t="str">
        <f>VLOOKUP(Counties_by_State_Code[[#This Row],[State_Code]],Territory_by_Code[],2)</f>
        <v>Texas</v>
      </c>
      <c r="C2760" t="s">
        <v>543</v>
      </c>
      <c r="D2760">
        <v>3353</v>
      </c>
      <c r="E2760">
        <v>854</v>
      </c>
    </row>
    <row r="2761" spans="1:5" x14ac:dyDescent="0.25">
      <c r="A2761" t="s">
        <v>1643</v>
      </c>
      <c r="B2761" t="str">
        <f>VLOOKUP(Counties_by_State_Code[[#This Row],[State_Code]],Territory_by_Code[],2)</f>
        <v>Texas</v>
      </c>
      <c r="C2761" t="s">
        <v>1729</v>
      </c>
      <c r="D2761">
        <v>6664</v>
      </c>
      <c r="E2761">
        <v>1489</v>
      </c>
    </row>
    <row r="2762" spans="1:5" x14ac:dyDescent="0.25">
      <c r="A2762" t="s">
        <v>1643</v>
      </c>
      <c r="B2762" t="str">
        <f>VLOOKUP(Counties_by_State_Code[[#This Row],[State_Code]],Territory_by_Code[],2)</f>
        <v>Texas</v>
      </c>
      <c r="C2762" t="s">
        <v>38</v>
      </c>
      <c r="D2762">
        <v>50088</v>
      </c>
      <c r="E2762">
        <v>917</v>
      </c>
    </row>
    <row r="2763" spans="1:5" x14ac:dyDescent="0.25">
      <c r="A2763" t="s">
        <v>1643</v>
      </c>
      <c r="B2763" t="str">
        <f>VLOOKUP(Counties_by_State_Code[[#This Row],[State_Code]],Territory_by_Code[],2)</f>
        <v>Texas</v>
      </c>
      <c r="C2763" t="s">
        <v>1730</v>
      </c>
      <c r="D2763">
        <v>13045</v>
      </c>
      <c r="E2763">
        <v>1016</v>
      </c>
    </row>
    <row r="2764" spans="1:5" x14ac:dyDescent="0.25">
      <c r="A2764" t="s">
        <v>1643</v>
      </c>
      <c r="B2764" t="str">
        <f>VLOOKUP(Counties_by_State_Code[[#This Row],[State_Code]],Territory_by_Code[],2)</f>
        <v>Texas</v>
      </c>
      <c r="C2764" t="s">
        <v>1731</v>
      </c>
      <c r="D2764">
        <v>21627</v>
      </c>
      <c r="E2764">
        <v>712</v>
      </c>
    </row>
    <row r="2765" spans="1:5" x14ac:dyDescent="0.25">
      <c r="A2765" t="s">
        <v>1643</v>
      </c>
      <c r="B2765" t="str">
        <f>VLOOKUP(Counties_by_State_Code[[#This Row],[State_Code]],Territory_by_Code[],2)</f>
        <v>Texas</v>
      </c>
      <c r="C2765" t="s">
        <v>1732</v>
      </c>
      <c r="D2765">
        <v>20337</v>
      </c>
      <c r="E2765">
        <v>970</v>
      </c>
    </row>
    <row r="2766" spans="1:5" x14ac:dyDescent="0.25">
      <c r="A2766" t="s">
        <v>1643</v>
      </c>
      <c r="B2766" t="str">
        <f>VLOOKUP(Counties_by_State_Code[[#This Row],[State_Code]],Territory_by_Code[],2)</f>
        <v>Texas</v>
      </c>
      <c r="C2766" t="s">
        <v>41</v>
      </c>
      <c r="D2766">
        <v>17478</v>
      </c>
      <c r="E2766">
        <v>629</v>
      </c>
    </row>
    <row r="2767" spans="1:5" x14ac:dyDescent="0.25">
      <c r="A2767" t="s">
        <v>1643</v>
      </c>
      <c r="B2767" t="str">
        <f>VLOOKUP(Counties_by_State_Code[[#This Row],[State_Code]],Territory_by_Code[],2)</f>
        <v>Texas</v>
      </c>
      <c r="C2767" t="s">
        <v>342</v>
      </c>
      <c r="D2767">
        <v>15719</v>
      </c>
      <c r="E2767">
        <v>1072</v>
      </c>
    </row>
    <row r="2768" spans="1:5" x14ac:dyDescent="0.25">
      <c r="A2768" t="s">
        <v>1643</v>
      </c>
      <c r="B2768" t="str">
        <f>VLOOKUP(Counties_by_State_Code[[#This Row],[State_Code]],Territory_by_Code[],2)</f>
        <v>Texas</v>
      </c>
      <c r="C2768" t="s">
        <v>344</v>
      </c>
      <c r="D2768">
        <v>91628</v>
      </c>
      <c r="E2768">
        <v>1160</v>
      </c>
    </row>
    <row r="2769" spans="1:5" x14ac:dyDescent="0.25">
      <c r="A2769" t="s">
        <v>1643</v>
      </c>
      <c r="B2769" t="str">
        <f>VLOOKUP(Counties_by_State_Code[[#This Row],[State_Code]],Territory_by_Code[],2)</f>
        <v>Texas</v>
      </c>
      <c r="C2769" t="s">
        <v>42</v>
      </c>
      <c r="D2769">
        <v>22146</v>
      </c>
      <c r="E2769">
        <v>909</v>
      </c>
    </row>
    <row r="2770" spans="1:5" x14ac:dyDescent="0.25">
      <c r="A2770" t="s">
        <v>1643</v>
      </c>
      <c r="B2770" t="str">
        <f>VLOOKUP(Counties_by_State_Code[[#This Row],[State_Code]],Territory_by_Code[],2)</f>
        <v>Texas</v>
      </c>
      <c r="C2770" t="s">
        <v>1733</v>
      </c>
      <c r="D2770">
        <v>3059</v>
      </c>
      <c r="E2770">
        <v>932</v>
      </c>
    </row>
    <row r="2771" spans="1:5" x14ac:dyDescent="0.25">
      <c r="A2771" t="s">
        <v>1643</v>
      </c>
      <c r="B2771" t="str">
        <f>VLOOKUP(Counties_by_State_Code[[#This Row],[State_Code]],Territory_by_Code[],2)</f>
        <v>Texas</v>
      </c>
      <c r="C2771" t="s">
        <v>1734</v>
      </c>
      <c r="D2771">
        <v>11335</v>
      </c>
      <c r="E2771">
        <v>1036</v>
      </c>
    </row>
    <row r="2772" spans="1:5" x14ac:dyDescent="0.25">
      <c r="A2772" t="s">
        <v>1643</v>
      </c>
      <c r="B2772" t="str">
        <f>VLOOKUP(Counties_by_State_Code[[#This Row],[State_Code]],Territory_by_Code[],2)</f>
        <v>Texas</v>
      </c>
      <c r="C2772" t="s">
        <v>1735</v>
      </c>
      <c r="D2772">
        <v>21243</v>
      </c>
      <c r="E2772">
        <v>935</v>
      </c>
    </row>
    <row r="2773" spans="1:5" x14ac:dyDescent="0.25">
      <c r="A2773" t="s">
        <v>1643</v>
      </c>
      <c r="B2773" t="str">
        <f>VLOOKUP(Counties_by_State_Code[[#This Row],[State_Code]],Territory_by_Code[],2)</f>
        <v>Texas</v>
      </c>
      <c r="C2773" t="s">
        <v>1736</v>
      </c>
      <c r="D2773">
        <v>64</v>
      </c>
      <c r="E2773">
        <v>673</v>
      </c>
    </row>
    <row r="2774" spans="1:5" x14ac:dyDescent="0.25">
      <c r="A2774" t="s">
        <v>1643</v>
      </c>
      <c r="B2774" t="str">
        <f>VLOOKUP(Counties_by_State_Code[[#This Row],[State_Code]],Territory_by_Code[],2)</f>
        <v>Texas</v>
      </c>
      <c r="C2774" t="s">
        <v>1737</v>
      </c>
      <c r="D2774">
        <v>310639</v>
      </c>
      <c r="E2774">
        <v>900</v>
      </c>
    </row>
    <row r="2775" spans="1:5" x14ac:dyDescent="0.25">
      <c r="A2775" t="s">
        <v>1643</v>
      </c>
      <c r="B2775" t="str">
        <f>VLOOKUP(Counties_by_State_Code[[#This Row],[State_Code]],Territory_by_Code[],2)</f>
        <v>Texas</v>
      </c>
      <c r="C2775" t="s">
        <v>1738</v>
      </c>
      <c r="D2775">
        <v>5596</v>
      </c>
      <c r="E2775">
        <v>892</v>
      </c>
    </row>
    <row r="2776" spans="1:5" x14ac:dyDescent="0.25">
      <c r="A2776" t="s">
        <v>1643</v>
      </c>
      <c r="B2776" t="str">
        <f>VLOOKUP(Counties_by_State_Code[[#This Row],[State_Code]],Territory_by_Code[],2)</f>
        <v>Texas</v>
      </c>
      <c r="C2776" t="s">
        <v>45</v>
      </c>
      <c r="D2776">
        <v>13455</v>
      </c>
      <c r="E2776">
        <v>472</v>
      </c>
    </row>
    <row r="2777" spans="1:5" x14ac:dyDescent="0.25">
      <c r="A2777" t="s">
        <v>1643</v>
      </c>
      <c r="B2777" t="str">
        <f>VLOOKUP(Counties_by_State_Code[[#This Row],[State_Code]],Territory_by_Code[],2)</f>
        <v>Texas</v>
      </c>
      <c r="C2777" t="s">
        <v>47</v>
      </c>
      <c r="D2777">
        <v>9725</v>
      </c>
      <c r="E2777">
        <v>381</v>
      </c>
    </row>
    <row r="2778" spans="1:5" x14ac:dyDescent="0.25">
      <c r="A2778" t="s">
        <v>1643</v>
      </c>
      <c r="B2778" t="str">
        <f>VLOOKUP(Counties_by_State_Code[[#This Row],[State_Code]],Territory_by_Code[],2)</f>
        <v>Texas</v>
      </c>
      <c r="C2778" t="s">
        <v>346</v>
      </c>
      <c r="D2778">
        <v>5237</v>
      </c>
      <c r="E2778">
        <v>915</v>
      </c>
    </row>
    <row r="2779" spans="1:5" x14ac:dyDescent="0.25">
      <c r="A2779" t="s">
        <v>1643</v>
      </c>
      <c r="B2779" t="str">
        <f>VLOOKUP(Counties_by_State_Code[[#This Row],[State_Code]],Territory_by_Code[],2)</f>
        <v>Texas</v>
      </c>
      <c r="C2779" t="s">
        <v>547</v>
      </c>
      <c r="D2779">
        <v>3953</v>
      </c>
      <c r="E2779">
        <v>932</v>
      </c>
    </row>
    <row r="2780" spans="1:5" x14ac:dyDescent="0.25">
      <c r="A2780" t="s">
        <v>1643</v>
      </c>
      <c r="B2780" t="str">
        <f>VLOOKUP(Counties_by_State_Code[[#This Row],[State_Code]],Territory_by_Code[],2)</f>
        <v>Texas</v>
      </c>
      <c r="C2780" t="s">
        <v>1739</v>
      </c>
      <c r="D2780">
        <v>36255</v>
      </c>
      <c r="E2780">
        <v>1114</v>
      </c>
    </row>
    <row r="2781" spans="1:5" x14ac:dyDescent="0.25">
      <c r="A2781" t="s">
        <v>1643</v>
      </c>
      <c r="B2781" t="str">
        <f>VLOOKUP(Counties_by_State_Code[[#This Row],[State_Code]],Territory_by_Code[],2)</f>
        <v>Texas</v>
      </c>
      <c r="C2781" t="s">
        <v>1740</v>
      </c>
      <c r="D2781">
        <v>57887</v>
      </c>
      <c r="E2781">
        <v>1280</v>
      </c>
    </row>
    <row r="2782" spans="1:5" x14ac:dyDescent="0.25">
      <c r="A2782" t="s">
        <v>1643</v>
      </c>
      <c r="B2782" t="str">
        <f>VLOOKUP(Counties_by_State_Code[[#This Row],[State_Code]],Territory_by_Code[],2)</f>
        <v>Texas</v>
      </c>
      <c r="C2782" t="s">
        <v>1741</v>
      </c>
      <c r="D2782">
        <v>7630</v>
      </c>
      <c r="E2782">
        <v>1069</v>
      </c>
    </row>
    <row r="2783" spans="1:5" x14ac:dyDescent="0.25">
      <c r="A2783" t="s">
        <v>1643</v>
      </c>
      <c r="B2783" t="str">
        <f>VLOOKUP(Counties_by_State_Code[[#This Row],[State_Code]],Territory_by_Code[],2)</f>
        <v>Texas</v>
      </c>
      <c r="C2783" t="s">
        <v>1742</v>
      </c>
      <c r="D2783">
        <v>260579</v>
      </c>
      <c r="E2783">
        <v>1042</v>
      </c>
    </row>
    <row r="2784" spans="1:5" x14ac:dyDescent="0.25">
      <c r="A2784" t="s">
        <v>1643</v>
      </c>
      <c r="B2784" t="str">
        <f>VLOOKUP(Counties_by_State_Code[[#This Row],[State_Code]],Territory_by_Code[],2)</f>
        <v>Texas</v>
      </c>
      <c r="C2784" t="s">
        <v>1743</v>
      </c>
      <c r="D2784">
        <v>600</v>
      </c>
      <c r="E2784">
        <v>1113</v>
      </c>
    </row>
    <row r="2785" spans="1:5" x14ac:dyDescent="0.25">
      <c r="A2785" t="s">
        <v>1643</v>
      </c>
      <c r="B2785" t="str">
        <f>VLOOKUP(Counties_by_State_Code[[#This Row],[State_Code]],Territory_by_Code[],2)</f>
        <v>Texas</v>
      </c>
      <c r="C2785" t="s">
        <v>1360</v>
      </c>
      <c r="D2785">
        <v>50748</v>
      </c>
      <c r="E2785">
        <v>1328</v>
      </c>
    </row>
    <row r="2786" spans="1:5" x14ac:dyDescent="0.25">
      <c r="A2786" t="s">
        <v>1643</v>
      </c>
      <c r="B2786" t="str">
        <f>VLOOKUP(Counties_by_State_Code[[#This Row],[State_Code]],Territory_by_Code[],2)</f>
        <v>Texas</v>
      </c>
      <c r="C2786" t="s">
        <v>552</v>
      </c>
      <c r="D2786">
        <v>1962</v>
      </c>
      <c r="E2786">
        <v>902</v>
      </c>
    </row>
    <row r="2787" spans="1:5" x14ac:dyDescent="0.25">
      <c r="A2787" t="s">
        <v>1643</v>
      </c>
      <c r="B2787" t="str">
        <f>VLOOKUP(Counties_by_State_Code[[#This Row],[State_Code]],Territory_by_Code[],2)</f>
        <v>Texas</v>
      </c>
      <c r="C2787" t="s">
        <v>914</v>
      </c>
      <c r="D2787">
        <v>169983</v>
      </c>
      <c r="E2787">
        <v>900</v>
      </c>
    </row>
    <row r="2788" spans="1:5" x14ac:dyDescent="0.25">
      <c r="A2788" t="s">
        <v>1643</v>
      </c>
      <c r="B2788" t="str">
        <f>VLOOKUP(Counties_by_State_Code[[#This Row],[State_Code]],Territory_by_Code[],2)</f>
        <v>Texas</v>
      </c>
      <c r="C2788" t="s">
        <v>1744</v>
      </c>
      <c r="D2788">
        <v>24754</v>
      </c>
      <c r="E2788">
        <v>1017</v>
      </c>
    </row>
    <row r="2789" spans="1:5" x14ac:dyDescent="0.25">
      <c r="A2789" t="s">
        <v>1643</v>
      </c>
      <c r="B2789" t="str">
        <f>VLOOKUP(Counties_by_State_Code[[#This Row],[State_Code]],Territory_by_Code[],2)</f>
        <v>Texas</v>
      </c>
      <c r="C2789" t="s">
        <v>641</v>
      </c>
      <c r="D2789">
        <v>4456</v>
      </c>
      <c r="E2789">
        <v>748</v>
      </c>
    </row>
    <row r="2790" spans="1:5" x14ac:dyDescent="0.25">
      <c r="A2790" t="s">
        <v>1643</v>
      </c>
      <c r="B2790" t="str">
        <f>VLOOKUP(Counties_by_State_Code[[#This Row],[State_Code]],Territory_by_Code[],2)</f>
        <v>Texas</v>
      </c>
      <c r="C2790" t="s">
        <v>435</v>
      </c>
      <c r="D2790">
        <v>8990</v>
      </c>
      <c r="E2790">
        <v>910</v>
      </c>
    </row>
    <row r="2791" spans="1:5" x14ac:dyDescent="0.25">
      <c r="A2791" t="s">
        <v>1643</v>
      </c>
      <c r="B2791" t="str">
        <f>VLOOKUP(Counties_by_State_Code[[#This Row],[State_Code]],Territory_by_Code[],2)</f>
        <v>Texas</v>
      </c>
      <c r="C2791" t="s">
        <v>1745</v>
      </c>
      <c r="D2791">
        <v>19965</v>
      </c>
      <c r="E2791">
        <v>931</v>
      </c>
    </row>
    <row r="2792" spans="1:5" x14ac:dyDescent="0.25">
      <c r="A2792" t="s">
        <v>1643</v>
      </c>
      <c r="B2792" t="str">
        <f>VLOOKUP(Counties_by_State_Code[[#This Row],[State_Code]],Territory_by_Code[],2)</f>
        <v>Texas</v>
      </c>
      <c r="C2792" t="s">
        <v>51</v>
      </c>
      <c r="D2792">
        <v>620443</v>
      </c>
      <c r="E2792">
        <v>1044</v>
      </c>
    </row>
    <row r="2793" spans="1:5" x14ac:dyDescent="0.25">
      <c r="A2793" t="s">
        <v>1643</v>
      </c>
      <c r="B2793" t="str">
        <f>VLOOKUP(Counties_by_State_Code[[#This Row],[State_Code]],Territory_by_Code[],2)</f>
        <v>Texas</v>
      </c>
      <c r="C2793" t="s">
        <v>1278</v>
      </c>
      <c r="D2793">
        <v>21358</v>
      </c>
      <c r="E2793">
        <v>900</v>
      </c>
    </row>
    <row r="2794" spans="1:5" x14ac:dyDescent="0.25">
      <c r="A2794" t="s">
        <v>1643</v>
      </c>
      <c r="B2794" t="str">
        <f>VLOOKUP(Counties_by_State_Code[[#This Row],[State_Code]],Territory_by_Code[],2)</f>
        <v>Texas</v>
      </c>
      <c r="C2794" t="s">
        <v>694</v>
      </c>
      <c r="D2794">
        <v>11973</v>
      </c>
      <c r="E2794">
        <v>254</v>
      </c>
    </row>
    <row r="2795" spans="1:5" x14ac:dyDescent="0.25">
      <c r="A2795" t="s">
        <v>1643</v>
      </c>
      <c r="B2795" t="str">
        <f>VLOOKUP(Counties_by_State_Code[[#This Row],[State_Code]],Territory_by_Code[],2)</f>
        <v>Texas</v>
      </c>
      <c r="C2795" t="s">
        <v>1746</v>
      </c>
      <c r="D2795">
        <v>1063</v>
      </c>
      <c r="E2795">
        <v>989</v>
      </c>
    </row>
    <row r="2796" spans="1:5" x14ac:dyDescent="0.25">
      <c r="A2796" t="s">
        <v>1643</v>
      </c>
      <c r="B2796" t="str">
        <f>VLOOKUP(Counties_by_State_Code[[#This Row],[State_Code]],Territory_by_Code[],2)</f>
        <v>Texas</v>
      </c>
      <c r="C2796" t="s">
        <v>1747</v>
      </c>
      <c r="D2796">
        <v>64653</v>
      </c>
      <c r="E2796">
        <v>947</v>
      </c>
    </row>
    <row r="2797" spans="1:5" x14ac:dyDescent="0.25">
      <c r="A2797" t="s">
        <v>1643</v>
      </c>
      <c r="B2797" t="str">
        <f>VLOOKUP(Counties_by_State_Code[[#This Row],[State_Code]],Territory_by_Code[],2)</f>
        <v>Texas</v>
      </c>
      <c r="C2797" t="s">
        <v>1748</v>
      </c>
      <c r="D2797">
        <v>52624</v>
      </c>
      <c r="E2797">
        <v>1071</v>
      </c>
    </row>
    <row r="2798" spans="1:5" x14ac:dyDescent="0.25">
      <c r="A2798" t="s">
        <v>1643</v>
      </c>
      <c r="B2798" t="str">
        <f>VLOOKUP(Counties_by_State_Code[[#This Row],[State_Code]],Territory_by_Code[],2)</f>
        <v>Texas</v>
      </c>
      <c r="C2798" t="s">
        <v>158</v>
      </c>
      <c r="D2798">
        <v>12217</v>
      </c>
      <c r="E2798">
        <v>933</v>
      </c>
    </row>
    <row r="2799" spans="1:5" x14ac:dyDescent="0.25">
      <c r="A2799" t="s">
        <v>1643</v>
      </c>
      <c r="B2799" t="str">
        <f>VLOOKUP(Counties_by_State_Code[[#This Row],[State_Code]],Territory_by_Code[],2)</f>
        <v>Texas</v>
      </c>
      <c r="C2799" t="s">
        <v>1749</v>
      </c>
      <c r="D2799">
        <v>14738</v>
      </c>
      <c r="E2799">
        <v>912</v>
      </c>
    </row>
    <row r="2800" spans="1:5" x14ac:dyDescent="0.25">
      <c r="A2800" t="s">
        <v>1643</v>
      </c>
      <c r="B2800" t="str">
        <f>VLOOKUP(Counties_by_State_Code[[#This Row],[State_Code]],Territory_by_Code[],2)</f>
        <v>Texas</v>
      </c>
      <c r="C2800" t="s">
        <v>1750</v>
      </c>
      <c r="D2800">
        <v>353178</v>
      </c>
      <c r="E2800">
        <v>836</v>
      </c>
    </row>
    <row r="2801" spans="1:5" x14ac:dyDescent="0.25">
      <c r="A2801" t="s">
        <v>1643</v>
      </c>
      <c r="B2801" t="str">
        <f>VLOOKUP(Counties_by_State_Code[[#This Row],[State_Code]],Territory_by_Code[],2)</f>
        <v>Texas</v>
      </c>
      <c r="C2801" t="s">
        <v>1751</v>
      </c>
      <c r="D2801">
        <v>10015</v>
      </c>
      <c r="E2801">
        <v>918</v>
      </c>
    </row>
    <row r="2802" spans="1:5" x14ac:dyDescent="0.25">
      <c r="A2802" t="s">
        <v>1643</v>
      </c>
      <c r="B2802" t="str">
        <f>VLOOKUP(Counties_by_State_Code[[#This Row],[State_Code]],Territory_by_Code[],2)</f>
        <v>Texas</v>
      </c>
      <c r="C2802" t="s">
        <v>772</v>
      </c>
      <c r="D2802">
        <v>1758</v>
      </c>
      <c r="E2802">
        <v>1501</v>
      </c>
    </row>
    <row r="2803" spans="1:5" x14ac:dyDescent="0.25">
      <c r="A2803" t="s">
        <v>1643</v>
      </c>
      <c r="B2803" t="str">
        <f>VLOOKUP(Counties_by_State_Code[[#This Row],[State_Code]],Territory_by_Code[],2)</f>
        <v>Texas</v>
      </c>
      <c r="C2803" t="s">
        <v>208</v>
      </c>
      <c r="D2803">
        <v>84808</v>
      </c>
      <c r="E2803">
        <v>356</v>
      </c>
    </row>
    <row r="2804" spans="1:5" x14ac:dyDescent="0.25">
      <c r="A2804" t="s">
        <v>1643</v>
      </c>
      <c r="B2804" t="str">
        <f>VLOOKUP(Counties_by_State_Code[[#This Row],[State_Code]],Territory_by_Code[],2)</f>
        <v>Texas</v>
      </c>
      <c r="C2804" t="s">
        <v>1752</v>
      </c>
      <c r="D2804">
        <v>28409</v>
      </c>
      <c r="E2804">
        <v>953</v>
      </c>
    </row>
    <row r="2805" spans="1:5" x14ac:dyDescent="0.25">
      <c r="A2805" t="s">
        <v>1643</v>
      </c>
      <c r="B2805" t="str">
        <f>VLOOKUP(Counties_by_State_Code[[#This Row],[State_Code]],Territory_by_Code[],2)</f>
        <v>Texas</v>
      </c>
      <c r="C2805" t="s">
        <v>1017</v>
      </c>
      <c r="D2805">
        <v>22491</v>
      </c>
      <c r="E2805">
        <v>801</v>
      </c>
    </row>
    <row r="2806" spans="1:5" x14ac:dyDescent="0.25">
      <c r="A2806" t="s">
        <v>1643</v>
      </c>
      <c r="B2806" t="str">
        <f>VLOOKUP(Counties_by_State_Code[[#This Row],[State_Code]],Territory_by_Code[],2)</f>
        <v>Texas</v>
      </c>
      <c r="C2806" t="s">
        <v>1753</v>
      </c>
      <c r="D2806">
        <v>148222</v>
      </c>
      <c r="E2806">
        <v>904</v>
      </c>
    </row>
    <row r="2807" spans="1:5" x14ac:dyDescent="0.25">
      <c r="A2807" t="s">
        <v>1643</v>
      </c>
      <c r="B2807" t="str">
        <f>VLOOKUP(Counties_by_State_Code[[#This Row],[State_Code]],Territory_by_Code[],2)</f>
        <v>Texas</v>
      </c>
      <c r="C2807" t="s">
        <v>1754</v>
      </c>
      <c r="D2807">
        <v>9869</v>
      </c>
      <c r="E2807">
        <v>882</v>
      </c>
    </row>
    <row r="2808" spans="1:5" x14ac:dyDescent="0.25">
      <c r="A2808" t="s">
        <v>1643</v>
      </c>
      <c r="B2808" t="str">
        <f>VLOOKUP(Counties_by_State_Code[[#This Row],[State_Code]],Territory_by_Code[],2)</f>
        <v>Texas</v>
      </c>
      <c r="C2808" t="s">
        <v>1755</v>
      </c>
      <c r="D2808">
        <v>15193</v>
      </c>
      <c r="E2808">
        <v>4764</v>
      </c>
    </row>
    <row r="2809" spans="1:5" x14ac:dyDescent="0.25">
      <c r="A2809" t="s">
        <v>1643</v>
      </c>
      <c r="B2809" t="str">
        <f>VLOOKUP(Counties_by_State_Code[[#This Row],[State_Code]],Territory_by_Code[],2)</f>
        <v>Texas</v>
      </c>
      <c r="C2809" t="s">
        <v>162</v>
      </c>
      <c r="D2809">
        <v>50123</v>
      </c>
      <c r="E2809">
        <v>1057</v>
      </c>
    </row>
    <row r="2810" spans="1:5" x14ac:dyDescent="0.25">
      <c r="A2810" t="s">
        <v>1643</v>
      </c>
      <c r="B2810" t="str">
        <f>VLOOKUP(Counties_by_State_Code[[#This Row],[State_Code]],Territory_by_Code[],2)</f>
        <v>Texas</v>
      </c>
      <c r="C2810" t="s">
        <v>1462</v>
      </c>
      <c r="D2810">
        <v>118525</v>
      </c>
      <c r="E2810">
        <v>909</v>
      </c>
    </row>
    <row r="2811" spans="1:5" x14ac:dyDescent="0.25">
      <c r="A2811" t="s">
        <v>1643</v>
      </c>
      <c r="B2811" t="str">
        <f>VLOOKUP(Counties_by_State_Code[[#This Row],[State_Code]],Territory_by_Code[],2)</f>
        <v>Texas</v>
      </c>
      <c r="C2811" t="s">
        <v>1756</v>
      </c>
      <c r="D2811">
        <v>6131</v>
      </c>
      <c r="E2811">
        <v>3856</v>
      </c>
    </row>
    <row r="2812" spans="1:5" x14ac:dyDescent="0.25">
      <c r="A2812" t="s">
        <v>1643</v>
      </c>
      <c r="B2812" t="str">
        <f>VLOOKUP(Counties_by_State_Code[[#This Row],[State_Code]],Territory_by_Code[],2)</f>
        <v>Texas</v>
      </c>
      <c r="C2812" t="s">
        <v>1757</v>
      </c>
      <c r="D2812">
        <v>12164</v>
      </c>
      <c r="E2812">
        <v>259</v>
      </c>
    </row>
    <row r="2813" spans="1:5" x14ac:dyDescent="0.25">
      <c r="A2813" t="s">
        <v>1643</v>
      </c>
      <c r="B2813" t="str">
        <f>VLOOKUP(Counties_by_State_Code[[#This Row],[State_Code]],Territory_by_Code[],2)</f>
        <v>Texas</v>
      </c>
      <c r="C2813" t="s">
        <v>1758</v>
      </c>
      <c r="D2813">
        <v>140753</v>
      </c>
      <c r="E2813">
        <v>914</v>
      </c>
    </row>
    <row r="2814" spans="1:5" x14ac:dyDescent="0.25">
      <c r="A2814" t="s">
        <v>1643</v>
      </c>
      <c r="B2814" t="str">
        <f>VLOOKUP(Counties_by_State_Code[[#This Row],[State_Code]],Territory_by_Code[],2)</f>
        <v>Texas</v>
      </c>
      <c r="C2814" t="s">
        <v>1759</v>
      </c>
      <c r="D2814">
        <v>3385</v>
      </c>
      <c r="E2814">
        <v>1175</v>
      </c>
    </row>
    <row r="2815" spans="1:5" x14ac:dyDescent="0.25">
      <c r="A2815" t="s">
        <v>1643</v>
      </c>
      <c r="B2815" t="str">
        <f>VLOOKUP(Counties_by_State_Code[[#This Row],[State_Code]],Territory_by_Code[],2)</f>
        <v>Texas</v>
      </c>
      <c r="C2815" t="s">
        <v>1760</v>
      </c>
      <c r="D2815">
        <v>2758</v>
      </c>
      <c r="E2815">
        <v>700</v>
      </c>
    </row>
    <row r="2816" spans="1:5" x14ac:dyDescent="0.25">
      <c r="A2816" t="s">
        <v>1643</v>
      </c>
      <c r="B2816" t="str">
        <f>VLOOKUP(Counties_by_State_Code[[#This Row],[State_Code]],Territory_by_Code[],2)</f>
        <v>Texas</v>
      </c>
      <c r="C2816" t="s">
        <v>813</v>
      </c>
      <c r="D2816">
        <v>11587</v>
      </c>
      <c r="E2816">
        <v>1050</v>
      </c>
    </row>
    <row r="2817" spans="1:5" x14ac:dyDescent="0.25">
      <c r="A2817" t="s">
        <v>1643</v>
      </c>
      <c r="B2817" t="str">
        <f>VLOOKUP(Counties_by_State_Code[[#This Row],[State_Code]],Territory_by_Code[],2)</f>
        <v>Texas</v>
      </c>
      <c r="C2817" t="s">
        <v>1761</v>
      </c>
      <c r="D2817">
        <v>14748</v>
      </c>
      <c r="E2817">
        <v>2636</v>
      </c>
    </row>
    <row r="2818" spans="1:5" x14ac:dyDescent="0.25">
      <c r="A2818" t="s">
        <v>1643</v>
      </c>
      <c r="B2818" t="str">
        <f>VLOOKUP(Counties_by_State_Code[[#This Row],[State_Code]],Territory_by_Code[],2)</f>
        <v>Texas</v>
      </c>
      <c r="C2818" t="s">
        <v>1762</v>
      </c>
      <c r="D2818">
        <v>6741</v>
      </c>
      <c r="E2818">
        <v>770</v>
      </c>
    </row>
    <row r="2819" spans="1:5" x14ac:dyDescent="0.25">
      <c r="A2819" t="s">
        <v>1643</v>
      </c>
      <c r="B2819" t="str">
        <f>VLOOKUP(Counties_by_State_Code[[#This Row],[State_Code]],Territory_by_Code[],2)</f>
        <v>Texas</v>
      </c>
      <c r="C2819" t="s">
        <v>1607</v>
      </c>
      <c r="D2819">
        <v>827</v>
      </c>
      <c r="E2819">
        <v>924</v>
      </c>
    </row>
    <row r="2820" spans="1:5" x14ac:dyDescent="0.25">
      <c r="A2820" t="s">
        <v>1643</v>
      </c>
      <c r="B2820" t="str">
        <f>VLOOKUP(Counties_by_State_Code[[#This Row],[State_Code]],Territory_by_Code[],2)</f>
        <v>Texas</v>
      </c>
      <c r="C2820" t="s">
        <v>776</v>
      </c>
      <c r="D2820">
        <v>16757</v>
      </c>
      <c r="E2820">
        <v>855</v>
      </c>
    </row>
    <row r="2821" spans="1:5" x14ac:dyDescent="0.25">
      <c r="A2821" t="s">
        <v>1643</v>
      </c>
      <c r="B2821" t="str">
        <f>VLOOKUP(Counties_by_State_Code[[#This Row],[State_Code]],Territory_by_Code[],2)</f>
        <v>Texas</v>
      </c>
      <c r="C2821" t="s">
        <v>1763</v>
      </c>
      <c r="D2821">
        <v>107819</v>
      </c>
      <c r="E2821">
        <v>149</v>
      </c>
    </row>
    <row r="2822" spans="1:5" x14ac:dyDescent="0.25">
      <c r="A2822" t="s">
        <v>1643</v>
      </c>
      <c r="B2822" t="str">
        <f>VLOOKUP(Counties_by_State_Code[[#This Row],[State_Code]],Territory_by_Code[],2)</f>
        <v>Texas</v>
      </c>
      <c r="C2822" t="s">
        <v>1764</v>
      </c>
      <c r="D2822">
        <v>9900</v>
      </c>
      <c r="E2822">
        <v>1054</v>
      </c>
    </row>
    <row r="2823" spans="1:5" x14ac:dyDescent="0.25">
      <c r="A2823" t="s">
        <v>1643</v>
      </c>
      <c r="B2823" t="str">
        <f>VLOOKUP(Counties_by_State_Code[[#This Row],[State_Code]],Territory_by_Code[],2)</f>
        <v>Texas</v>
      </c>
      <c r="C2823" t="s">
        <v>1765</v>
      </c>
      <c r="D2823">
        <v>52214</v>
      </c>
      <c r="E2823">
        <v>924</v>
      </c>
    </row>
    <row r="2824" spans="1:5" x14ac:dyDescent="0.25">
      <c r="A2824" t="s">
        <v>1643</v>
      </c>
      <c r="B2824" t="str">
        <f>VLOOKUP(Counties_by_State_Code[[#This Row],[State_Code]],Territory_by_Code[],2)</f>
        <v>Texas</v>
      </c>
      <c r="C2824" t="s">
        <v>814</v>
      </c>
      <c r="D2824">
        <v>9894</v>
      </c>
      <c r="E2824">
        <v>490</v>
      </c>
    </row>
    <row r="2825" spans="1:5" x14ac:dyDescent="0.25">
      <c r="A2825" t="s">
        <v>1643</v>
      </c>
      <c r="B2825" t="str">
        <f>VLOOKUP(Counties_by_State_Code[[#This Row],[State_Code]],Territory_by_Code[],2)</f>
        <v>Texas</v>
      </c>
      <c r="C2825" t="s">
        <v>1766</v>
      </c>
      <c r="D2825">
        <v>7918</v>
      </c>
      <c r="E2825">
        <v>528</v>
      </c>
    </row>
    <row r="2826" spans="1:5" x14ac:dyDescent="0.25">
      <c r="A2826" t="s">
        <v>1643</v>
      </c>
      <c r="B2826" t="str">
        <f>VLOOKUP(Counties_by_State_Code[[#This Row],[State_Code]],Territory_by_Code[],2)</f>
        <v>Texas</v>
      </c>
      <c r="C2826" t="s">
        <v>1767</v>
      </c>
      <c r="D2826">
        <v>27402</v>
      </c>
      <c r="E2826">
        <v>571</v>
      </c>
    </row>
    <row r="2827" spans="1:5" x14ac:dyDescent="0.25">
      <c r="A2827" t="s">
        <v>1643</v>
      </c>
      <c r="B2827" t="str">
        <f>VLOOKUP(Counties_by_State_Code[[#This Row],[State_Code]],Territory_by_Code[],2)</f>
        <v>Texas</v>
      </c>
      <c r="C2827" t="s">
        <v>1768</v>
      </c>
      <c r="D2827">
        <v>68755</v>
      </c>
      <c r="E2827">
        <v>692</v>
      </c>
    </row>
    <row r="2828" spans="1:5" x14ac:dyDescent="0.25">
      <c r="A2828" t="s">
        <v>1643</v>
      </c>
      <c r="B2828" t="str">
        <f>VLOOKUP(Counties_by_State_Code[[#This Row],[State_Code]],Territory_by_Code[],2)</f>
        <v>Texas</v>
      </c>
      <c r="C2828" t="s">
        <v>1769</v>
      </c>
      <c r="D2828">
        <v>5730</v>
      </c>
      <c r="E2828">
        <v>1134</v>
      </c>
    </row>
    <row r="2829" spans="1:5" x14ac:dyDescent="0.25">
      <c r="A2829" t="s">
        <v>1643</v>
      </c>
      <c r="B2829" t="str">
        <f>VLOOKUP(Counties_by_State_Code[[#This Row],[State_Code]],Territory_by_Code[],2)</f>
        <v>Texas</v>
      </c>
      <c r="C2829" t="s">
        <v>1770</v>
      </c>
      <c r="D2829">
        <v>2451</v>
      </c>
      <c r="E2829">
        <v>1311</v>
      </c>
    </row>
    <row r="2830" spans="1:5" x14ac:dyDescent="0.25">
      <c r="A2830" t="s">
        <v>1643</v>
      </c>
      <c r="B2830" t="str">
        <f>VLOOKUP(Counties_by_State_Code[[#This Row],[State_Code]],Territory_by_Code[],2)</f>
        <v>Texas</v>
      </c>
      <c r="C2830" t="s">
        <v>1771</v>
      </c>
      <c r="D2830">
        <v>16932</v>
      </c>
      <c r="E2830">
        <v>903</v>
      </c>
    </row>
    <row r="2831" spans="1:5" x14ac:dyDescent="0.25">
      <c r="A2831" t="s">
        <v>1643</v>
      </c>
      <c r="B2831" t="str">
        <f>VLOOKUP(Counties_by_State_Code[[#This Row],[State_Code]],Territory_by_Code[],2)</f>
        <v>Texas</v>
      </c>
      <c r="C2831" t="s">
        <v>1772</v>
      </c>
      <c r="D2831">
        <v>3105</v>
      </c>
      <c r="E2831">
        <v>914</v>
      </c>
    </row>
    <row r="2832" spans="1:5" x14ac:dyDescent="0.25">
      <c r="A2832" t="s">
        <v>1643</v>
      </c>
      <c r="B2832" t="str">
        <f>VLOOKUP(Counties_by_State_Code[[#This Row],[State_Code]],Territory_by_Code[],2)</f>
        <v>Texas</v>
      </c>
      <c r="C2832" t="s">
        <v>58</v>
      </c>
      <c r="D2832">
        <v>24022</v>
      </c>
      <c r="E2832">
        <v>794</v>
      </c>
    </row>
    <row r="2833" spans="1:5" x14ac:dyDescent="0.25">
      <c r="A2833" t="s">
        <v>1643</v>
      </c>
      <c r="B2833" t="str">
        <f>VLOOKUP(Counties_by_State_Code[[#This Row],[State_Code]],Territory_by_Code[],2)</f>
        <v>Texas</v>
      </c>
      <c r="C2833" t="s">
        <v>715</v>
      </c>
      <c r="D2833">
        <v>2782</v>
      </c>
      <c r="E2833">
        <v>923</v>
      </c>
    </row>
    <row r="2834" spans="1:5" x14ac:dyDescent="0.25">
      <c r="A2834" t="s">
        <v>1643</v>
      </c>
      <c r="B2834" t="str">
        <f>VLOOKUP(Counties_by_State_Code[[#This Row],[State_Code]],Territory_by_Code[],2)</f>
        <v>Texas</v>
      </c>
      <c r="C2834" t="s">
        <v>716</v>
      </c>
      <c r="D2834">
        <v>233479</v>
      </c>
      <c r="E2834">
        <v>928</v>
      </c>
    </row>
    <row r="2835" spans="1:5" x14ac:dyDescent="0.25">
      <c r="A2835" t="s">
        <v>1643</v>
      </c>
      <c r="B2835" t="str">
        <f>VLOOKUP(Counties_by_State_Code[[#This Row],[State_Code]],Territory_by_Code[],2)</f>
        <v>Texas</v>
      </c>
      <c r="C2835" t="s">
        <v>1773</v>
      </c>
      <c r="D2835">
        <v>9205</v>
      </c>
      <c r="E2835">
        <v>187</v>
      </c>
    </row>
    <row r="2836" spans="1:5" x14ac:dyDescent="0.25">
      <c r="A2836" t="s">
        <v>1643</v>
      </c>
      <c r="B2836" t="str">
        <f>VLOOKUP(Counties_by_State_Code[[#This Row],[State_Code]],Territory_by_Code[],2)</f>
        <v>Texas</v>
      </c>
      <c r="C2836" t="s">
        <v>1774</v>
      </c>
      <c r="D2836">
        <v>65920</v>
      </c>
      <c r="E2836">
        <v>1223</v>
      </c>
    </row>
    <row r="2837" spans="1:5" x14ac:dyDescent="0.25">
      <c r="A2837" t="s">
        <v>1643</v>
      </c>
      <c r="B2837" t="str">
        <f>VLOOKUP(Counties_by_State_Code[[#This Row],[State_Code]],Territory_by_Code[],2)</f>
        <v>Texas</v>
      </c>
      <c r="C2837" t="s">
        <v>450</v>
      </c>
      <c r="D2837">
        <v>9101</v>
      </c>
      <c r="E2837">
        <v>895</v>
      </c>
    </row>
    <row r="2838" spans="1:5" x14ac:dyDescent="0.25">
      <c r="A2838" t="s">
        <v>1643</v>
      </c>
      <c r="B2838" t="str">
        <f>VLOOKUP(Counties_by_State_Code[[#This Row],[State_Code]],Territory_by_Code[],2)</f>
        <v>Texas</v>
      </c>
      <c r="C2838" t="s">
        <v>1775</v>
      </c>
      <c r="D2838">
        <v>1372</v>
      </c>
      <c r="E2838">
        <v>923</v>
      </c>
    </row>
    <row r="2839" spans="1:5" x14ac:dyDescent="0.25">
      <c r="A2839" t="s">
        <v>1643</v>
      </c>
      <c r="B2839" t="str">
        <f>VLOOKUP(Counties_by_State_Code[[#This Row],[State_Code]],Territory_by_Code[],2)</f>
        <v>Texas</v>
      </c>
      <c r="C2839" t="s">
        <v>1776</v>
      </c>
      <c r="D2839">
        <v>1245</v>
      </c>
      <c r="E2839">
        <v>919</v>
      </c>
    </row>
    <row r="2840" spans="1:5" x14ac:dyDescent="0.25">
      <c r="A2840" t="s">
        <v>1643</v>
      </c>
      <c r="B2840" t="str">
        <f>VLOOKUP(Counties_by_State_Code[[#This Row],[State_Code]],Territory_by_Code[],2)</f>
        <v>Texas</v>
      </c>
      <c r="C2840" t="s">
        <v>1777</v>
      </c>
      <c r="D2840">
        <v>3372</v>
      </c>
      <c r="E2840">
        <v>1454</v>
      </c>
    </row>
    <row r="2841" spans="1:5" x14ac:dyDescent="0.25">
      <c r="A2841" t="s">
        <v>1643</v>
      </c>
      <c r="B2841" t="str">
        <f>VLOOKUP(Counties_by_State_Code[[#This Row],[State_Code]],Territory_by_Code[],2)</f>
        <v>Texas</v>
      </c>
      <c r="C2841" t="s">
        <v>1778</v>
      </c>
      <c r="D2841">
        <v>6971</v>
      </c>
      <c r="E2841">
        <v>900</v>
      </c>
    </row>
    <row r="2842" spans="1:5" x14ac:dyDescent="0.25">
      <c r="A2842" t="s">
        <v>1643</v>
      </c>
      <c r="B2842" t="str">
        <f>VLOOKUP(Counties_by_State_Code[[#This Row],[State_Code]],Territory_by_Code[],2)</f>
        <v>Texas</v>
      </c>
      <c r="C2842" t="s">
        <v>1779</v>
      </c>
      <c r="D2842">
        <v>2110640</v>
      </c>
      <c r="E2842">
        <v>864</v>
      </c>
    </row>
    <row r="2843" spans="1:5" x14ac:dyDescent="0.25">
      <c r="A2843" t="s">
        <v>1643</v>
      </c>
      <c r="B2843" t="str">
        <f>VLOOKUP(Counties_by_State_Code[[#This Row],[State_Code]],Territory_by_Code[],2)</f>
        <v>Texas</v>
      </c>
      <c r="C2843" t="s">
        <v>362</v>
      </c>
      <c r="D2843">
        <v>143208</v>
      </c>
      <c r="E2843">
        <v>916</v>
      </c>
    </row>
    <row r="2844" spans="1:5" x14ac:dyDescent="0.25">
      <c r="A2844" t="s">
        <v>1643</v>
      </c>
      <c r="B2844" t="str">
        <f>VLOOKUP(Counties_by_State_Code[[#This Row],[State_Code]],Territory_by_Code[],2)</f>
        <v>Texas</v>
      </c>
      <c r="C2844" t="s">
        <v>456</v>
      </c>
      <c r="D2844">
        <v>760</v>
      </c>
      <c r="E2844">
        <v>2358</v>
      </c>
    </row>
    <row r="2845" spans="1:5" x14ac:dyDescent="0.25">
      <c r="A2845" t="s">
        <v>1643</v>
      </c>
      <c r="B2845" t="str">
        <f>VLOOKUP(Counties_by_State_Code[[#This Row],[State_Code]],Territory_by_Code[],2)</f>
        <v>Texas</v>
      </c>
      <c r="C2845" t="s">
        <v>1780</v>
      </c>
      <c r="D2845">
        <v>11831</v>
      </c>
      <c r="E2845">
        <v>890</v>
      </c>
    </row>
    <row r="2846" spans="1:5" x14ac:dyDescent="0.25">
      <c r="A2846" t="s">
        <v>1643</v>
      </c>
      <c r="B2846" t="str">
        <f>VLOOKUP(Counties_by_State_Code[[#This Row],[State_Code]],Territory_by_Code[],2)</f>
        <v>Texas</v>
      </c>
      <c r="C2846" t="s">
        <v>1781</v>
      </c>
      <c r="D2846">
        <v>1440</v>
      </c>
      <c r="E2846">
        <v>912</v>
      </c>
    </row>
    <row r="2847" spans="1:5" x14ac:dyDescent="0.25">
      <c r="A2847" t="s">
        <v>1643</v>
      </c>
      <c r="B2847" t="str">
        <f>VLOOKUP(Counties_by_State_Code[[#This Row],[State_Code]],Territory_by_Code[],2)</f>
        <v>Texas</v>
      </c>
      <c r="C2847" t="s">
        <v>1782</v>
      </c>
      <c r="D2847">
        <v>31247</v>
      </c>
      <c r="E2847">
        <v>411</v>
      </c>
    </row>
    <row r="2848" spans="1:5" x14ac:dyDescent="0.25">
      <c r="A2848" t="s">
        <v>1643</v>
      </c>
      <c r="B2848" t="str">
        <f>VLOOKUP(Counties_by_State_Code[[#This Row],[State_Code]],Territory_by_Code[],2)</f>
        <v>Texas</v>
      </c>
      <c r="C2848" t="s">
        <v>1783</v>
      </c>
      <c r="D2848">
        <v>120003</v>
      </c>
      <c r="E2848">
        <v>1522</v>
      </c>
    </row>
    <row r="2849" spans="1:5" x14ac:dyDescent="0.25">
      <c r="A2849" t="s">
        <v>1643</v>
      </c>
      <c r="B2849" t="str">
        <f>VLOOKUP(Counties_by_State_Code[[#This Row],[State_Code]],Territory_by_Code[],2)</f>
        <v>Texas</v>
      </c>
      <c r="C2849" t="s">
        <v>1784</v>
      </c>
      <c r="D2849">
        <v>1290188</v>
      </c>
      <c r="E2849">
        <v>989</v>
      </c>
    </row>
    <row r="2850" spans="1:5" x14ac:dyDescent="0.25">
      <c r="A2850" t="s">
        <v>1643</v>
      </c>
      <c r="B2850" t="str">
        <f>VLOOKUP(Counties_by_State_Code[[#This Row],[State_Code]],Territory_by_Code[],2)</f>
        <v>Texas</v>
      </c>
      <c r="C2850" t="s">
        <v>230</v>
      </c>
      <c r="D2850">
        <v>13602</v>
      </c>
      <c r="E2850">
        <v>693</v>
      </c>
    </row>
    <row r="2851" spans="1:5" x14ac:dyDescent="0.25">
      <c r="A2851" t="s">
        <v>1643</v>
      </c>
      <c r="B2851" t="str">
        <f>VLOOKUP(Counties_by_State_Code[[#This Row],[State_Code]],Territory_by_Code[],2)</f>
        <v>Texas</v>
      </c>
      <c r="C2851" t="s">
        <v>1785</v>
      </c>
      <c r="D2851">
        <v>19798</v>
      </c>
      <c r="E2851">
        <v>923</v>
      </c>
    </row>
    <row r="2852" spans="1:5" x14ac:dyDescent="0.25">
      <c r="A2852" t="s">
        <v>1643</v>
      </c>
      <c r="B2852" t="str">
        <f>VLOOKUP(Counties_by_State_Code[[#This Row],[State_Code]],Territory_by_Code[],2)</f>
        <v>Texas</v>
      </c>
      <c r="C2852" t="s">
        <v>1786</v>
      </c>
      <c r="D2852">
        <v>40892</v>
      </c>
      <c r="E2852">
        <v>588</v>
      </c>
    </row>
    <row r="2853" spans="1:5" x14ac:dyDescent="0.25">
      <c r="A2853" t="s">
        <v>1643</v>
      </c>
      <c r="B2853" t="str">
        <f>VLOOKUP(Counties_by_State_Code[[#This Row],[State_Code]],Territory_by_Code[],2)</f>
        <v>Texas</v>
      </c>
      <c r="C2853" t="s">
        <v>1787</v>
      </c>
      <c r="D2853">
        <v>3308</v>
      </c>
      <c r="E2853">
        <v>1242</v>
      </c>
    </row>
    <row r="2854" spans="1:5" x14ac:dyDescent="0.25">
      <c r="A2854" t="s">
        <v>1643</v>
      </c>
      <c r="B2854" t="str">
        <f>VLOOKUP(Counties_by_State_Code[[#This Row],[State_Code]],Territory_by_Code[],2)</f>
        <v>Texas</v>
      </c>
      <c r="C2854" t="s">
        <v>1788</v>
      </c>
      <c r="D2854">
        <v>24564</v>
      </c>
      <c r="E2854">
        <v>1557</v>
      </c>
    </row>
    <row r="2855" spans="1:5" x14ac:dyDescent="0.25">
      <c r="A2855" t="s">
        <v>1643</v>
      </c>
      <c r="B2855" t="str">
        <f>VLOOKUP(Counties_by_State_Code[[#This Row],[State_Code]],Territory_by_Code[],2)</f>
        <v>Texas</v>
      </c>
      <c r="C2855" t="s">
        <v>1789</v>
      </c>
      <c r="D2855">
        <v>47586</v>
      </c>
      <c r="E2855">
        <v>3171</v>
      </c>
    </row>
    <row r="2856" spans="1:5" x14ac:dyDescent="0.25">
      <c r="A2856" t="s">
        <v>1643</v>
      </c>
      <c r="B2856" t="str">
        <f>VLOOKUP(Counties_by_State_Code[[#This Row],[State_Code]],Territory_by_Code[],2)</f>
        <v>Texas</v>
      </c>
      <c r="C2856" t="s">
        <v>1790</v>
      </c>
      <c r="D2856">
        <v>59541</v>
      </c>
      <c r="E2856">
        <v>849</v>
      </c>
    </row>
    <row r="2857" spans="1:5" x14ac:dyDescent="0.25">
      <c r="A2857" t="s">
        <v>1643</v>
      </c>
      <c r="B2857" t="str">
        <f>VLOOKUP(Counties_by_State_Code[[#This Row],[State_Code]],Territory_by_Code[],2)</f>
        <v>Texas</v>
      </c>
      <c r="C2857" t="s">
        <v>1791</v>
      </c>
      <c r="D2857">
        <v>91319</v>
      </c>
      <c r="E2857">
        <v>883</v>
      </c>
    </row>
    <row r="2858" spans="1:5" x14ac:dyDescent="0.25">
      <c r="A2858" t="s">
        <v>1643</v>
      </c>
      <c r="B2858" t="str">
        <f>VLOOKUP(Counties_by_State_Code[[#This Row],[State_Code]],Territory_by_Code[],2)</f>
        <v>Texas</v>
      </c>
      <c r="C2858" t="s">
        <v>64</v>
      </c>
      <c r="D2858">
        <v>76400</v>
      </c>
      <c r="E2858">
        <v>788</v>
      </c>
    </row>
    <row r="2859" spans="1:5" x14ac:dyDescent="0.25">
      <c r="A2859" t="s">
        <v>1643</v>
      </c>
      <c r="B2859" t="str">
        <f>VLOOKUP(Counties_by_State_Code[[#This Row],[State_Code]],Territory_by_Code[],2)</f>
        <v>Texas</v>
      </c>
      <c r="C2859" t="s">
        <v>1792</v>
      </c>
      <c r="D2859">
        <v>56794</v>
      </c>
      <c r="E2859">
        <v>514</v>
      </c>
    </row>
    <row r="2860" spans="1:5" x14ac:dyDescent="0.25">
      <c r="A2860" t="s">
        <v>1643</v>
      </c>
      <c r="B2860" t="str">
        <f>VLOOKUP(Counties_by_State_Code[[#This Row],[State_Code]],Territory_by_Code[],2)</f>
        <v>Texas</v>
      </c>
      <c r="C2860" t="s">
        <v>1333</v>
      </c>
      <c r="D2860">
        <v>11644</v>
      </c>
      <c r="E2860">
        <v>836</v>
      </c>
    </row>
    <row r="2861" spans="1:5" x14ac:dyDescent="0.25">
      <c r="A2861" t="s">
        <v>1643</v>
      </c>
      <c r="B2861" t="str">
        <f>VLOOKUP(Counties_by_State_Code[[#This Row],[State_Code]],Territory_by_Code[],2)</f>
        <v>Texas</v>
      </c>
      <c r="C2861" t="s">
        <v>65</v>
      </c>
      <c r="D2861">
        <v>35805</v>
      </c>
      <c r="E2861">
        <v>609</v>
      </c>
    </row>
    <row r="2862" spans="1:5" x14ac:dyDescent="0.25">
      <c r="A2862" t="s">
        <v>1643</v>
      </c>
      <c r="B2862" t="str">
        <f>VLOOKUP(Counties_by_State_Code[[#This Row],[State_Code]],Territory_by_Code[],2)</f>
        <v>Texas</v>
      </c>
      <c r="C2862" t="s">
        <v>1793</v>
      </c>
      <c r="D2862">
        <v>267114</v>
      </c>
      <c r="E2862">
        <v>3357</v>
      </c>
    </row>
    <row r="2863" spans="1:5" x14ac:dyDescent="0.25">
      <c r="A2863" t="s">
        <v>1643</v>
      </c>
      <c r="B2863" t="str">
        <f>VLOOKUP(Counties_by_State_Code[[#This Row],[State_Code]],Territory_by_Code[],2)</f>
        <v>Texas</v>
      </c>
      <c r="C2863" t="s">
        <v>1794</v>
      </c>
      <c r="D2863">
        <v>41570</v>
      </c>
      <c r="E2863">
        <v>1090</v>
      </c>
    </row>
    <row r="2864" spans="1:5" x14ac:dyDescent="0.25">
      <c r="A2864" t="s">
        <v>1643</v>
      </c>
      <c r="B2864" t="str">
        <f>VLOOKUP(Counties_by_State_Code[[#This Row],[State_Code]],Territory_by_Code[],2)</f>
        <v>Texas</v>
      </c>
      <c r="C2864" t="s">
        <v>470</v>
      </c>
      <c r="D2864">
        <v>4990</v>
      </c>
      <c r="E2864">
        <v>914</v>
      </c>
    </row>
    <row r="2865" spans="1:5" x14ac:dyDescent="0.25">
      <c r="A2865" t="s">
        <v>1643</v>
      </c>
      <c r="B2865" t="str">
        <f>VLOOKUP(Counties_by_State_Code[[#This Row],[State_Code]],Territory_by_Code[],2)</f>
        <v>Texas</v>
      </c>
      <c r="C2865" t="s">
        <v>724</v>
      </c>
      <c r="D2865">
        <v>129350</v>
      </c>
      <c r="E2865">
        <v>628</v>
      </c>
    </row>
    <row r="2866" spans="1:5" x14ac:dyDescent="0.25">
      <c r="A2866" t="s">
        <v>1643</v>
      </c>
      <c r="B2866" t="str">
        <f>VLOOKUP(Counties_by_State_Code[[#This Row],[State_Code]],Territory_by_Code[],2)</f>
        <v>Texas</v>
      </c>
      <c r="C2866" t="s">
        <v>1795</v>
      </c>
      <c r="D2866">
        <v>12887</v>
      </c>
      <c r="E2866">
        <v>971</v>
      </c>
    </row>
    <row r="2867" spans="1:5" x14ac:dyDescent="0.25">
      <c r="A2867" t="s">
        <v>1643</v>
      </c>
      <c r="B2867" t="str">
        <f>VLOOKUP(Counties_by_State_Code[[#This Row],[State_Code]],Territory_by_Code[],2)</f>
        <v>Texas</v>
      </c>
      <c r="C2867" t="s">
        <v>1796</v>
      </c>
      <c r="D2867">
        <v>20164</v>
      </c>
      <c r="E2867">
        <v>597</v>
      </c>
    </row>
    <row r="2868" spans="1:5" x14ac:dyDescent="0.25">
      <c r="A2868" t="s">
        <v>1643</v>
      </c>
      <c r="B2868" t="str">
        <f>VLOOKUP(Counties_by_State_Code[[#This Row],[State_Code]],Territory_by_Code[],2)</f>
        <v>Texas</v>
      </c>
      <c r="C2868" t="s">
        <v>569</v>
      </c>
      <c r="D2868">
        <v>609017</v>
      </c>
      <c r="E2868">
        <v>1124</v>
      </c>
    </row>
    <row r="2869" spans="1:5" x14ac:dyDescent="0.25">
      <c r="A2869" t="s">
        <v>1643</v>
      </c>
      <c r="B2869" t="str">
        <f>VLOOKUP(Counties_by_State_Code[[#This Row],[State_Code]],Territory_by_Code[],2)</f>
        <v>Texas</v>
      </c>
      <c r="C2869" t="s">
        <v>725</v>
      </c>
      <c r="D2869">
        <v>49753</v>
      </c>
      <c r="E2869">
        <v>807</v>
      </c>
    </row>
    <row r="2870" spans="1:5" x14ac:dyDescent="0.25">
      <c r="A2870" t="s">
        <v>1643</v>
      </c>
      <c r="B2870" t="str">
        <f>VLOOKUP(Counties_by_State_Code[[#This Row],[State_Code]],Territory_by_Code[],2)</f>
        <v>Texas</v>
      </c>
      <c r="C2870" t="s">
        <v>1797</v>
      </c>
      <c r="D2870">
        <v>7791</v>
      </c>
      <c r="E2870">
        <v>841</v>
      </c>
    </row>
    <row r="2871" spans="1:5" x14ac:dyDescent="0.25">
      <c r="A2871" t="s">
        <v>1643</v>
      </c>
      <c r="B2871" t="str">
        <f>VLOOKUP(Counties_by_State_Code[[#This Row],[State_Code]],Territory_by_Code[],2)</f>
        <v>Texas</v>
      </c>
      <c r="C2871" t="s">
        <v>1798</v>
      </c>
      <c r="D2871">
        <v>68632</v>
      </c>
      <c r="E2871">
        <v>905</v>
      </c>
    </row>
    <row r="2872" spans="1:5" x14ac:dyDescent="0.25">
      <c r="A2872" t="s">
        <v>1643</v>
      </c>
      <c r="B2872" t="str">
        <f>VLOOKUP(Counties_by_State_Code[[#This Row],[State_Code]],Territory_by_Code[],2)</f>
        <v>Texas</v>
      </c>
      <c r="C2872" t="s">
        <v>1374</v>
      </c>
      <c r="D2872">
        <v>44843</v>
      </c>
      <c r="E2872">
        <v>650</v>
      </c>
    </row>
    <row r="2873" spans="1:5" x14ac:dyDescent="0.25">
      <c r="A2873" t="s">
        <v>1643</v>
      </c>
      <c r="B2873" t="str">
        <f>VLOOKUP(Counties_by_State_Code[[#This Row],[State_Code]],Territory_by_Code[],2)</f>
        <v>Texas</v>
      </c>
      <c r="C2873" t="s">
        <v>1799</v>
      </c>
      <c r="D2873">
        <v>7694</v>
      </c>
      <c r="E2873">
        <v>800</v>
      </c>
    </row>
    <row r="2874" spans="1:5" x14ac:dyDescent="0.25">
      <c r="A2874" t="s">
        <v>1643</v>
      </c>
      <c r="B2874" t="str">
        <f>VLOOKUP(Counties_by_State_Code[[#This Row],[State_Code]],Territory_by_Code[],2)</f>
        <v>Texas</v>
      </c>
      <c r="C2874" t="s">
        <v>1800</v>
      </c>
      <c r="D2874">
        <v>17867</v>
      </c>
      <c r="E2874">
        <v>922</v>
      </c>
    </row>
    <row r="2875" spans="1:5" x14ac:dyDescent="0.25">
      <c r="A2875" t="s">
        <v>1643</v>
      </c>
      <c r="B2875" t="str">
        <f>VLOOKUP(Counties_by_State_Code[[#This Row],[State_Code]],Territory_by_Code[],2)</f>
        <v>Texas</v>
      </c>
      <c r="C2875" t="s">
        <v>1801</v>
      </c>
      <c r="D2875">
        <v>13889</v>
      </c>
      <c r="E2875">
        <v>997</v>
      </c>
    </row>
    <row r="2876" spans="1:5" x14ac:dyDescent="0.25">
      <c r="A2876" t="s">
        <v>1643</v>
      </c>
      <c r="B2876" t="str">
        <f>VLOOKUP(Counties_by_State_Code[[#This Row],[State_Code]],Territory_by_Code[],2)</f>
        <v>Texas</v>
      </c>
      <c r="C2876" t="s">
        <v>1802</v>
      </c>
      <c r="D2876">
        <v>9670</v>
      </c>
      <c r="E2876">
        <v>1299</v>
      </c>
    </row>
    <row r="2877" spans="1:5" x14ac:dyDescent="0.25">
      <c r="A2877" t="s">
        <v>1803</v>
      </c>
      <c r="B2877" t="str">
        <f>VLOOKUP(Counties_by_State_Code[[#This Row],[State_Code]],Territory_by_Code[],2)</f>
        <v>Utah</v>
      </c>
      <c r="C2877" t="s">
        <v>1379</v>
      </c>
      <c r="D2877">
        <v>7072</v>
      </c>
      <c r="E2877">
        <v>2592</v>
      </c>
    </row>
    <row r="2878" spans="1:5" x14ac:dyDescent="0.25">
      <c r="A2878" t="s">
        <v>1803</v>
      </c>
      <c r="B2878" t="str">
        <f>VLOOKUP(Counties_by_State_Code[[#This Row],[State_Code]],Territory_by_Code[],2)</f>
        <v>Utah</v>
      </c>
      <c r="C2878" t="s">
        <v>1804</v>
      </c>
      <c r="D2878">
        <v>57666</v>
      </c>
      <c r="E2878">
        <v>6729</v>
      </c>
    </row>
    <row r="2879" spans="1:5" x14ac:dyDescent="0.25">
      <c r="A2879" t="s">
        <v>1803</v>
      </c>
      <c r="B2879" t="str">
        <f>VLOOKUP(Counties_by_State_Code[[#This Row],[State_Code]],Territory_by_Code[],2)</f>
        <v>Utah</v>
      </c>
      <c r="C2879" t="s">
        <v>1805</v>
      </c>
      <c r="D2879">
        <v>133154</v>
      </c>
      <c r="E2879">
        <v>1173</v>
      </c>
    </row>
    <row r="2880" spans="1:5" x14ac:dyDescent="0.25">
      <c r="A2880" t="s">
        <v>1803</v>
      </c>
      <c r="B2880" t="str">
        <f>VLOOKUP(Counties_by_State_Code[[#This Row],[State_Code]],Territory_by_Code[],2)</f>
        <v>Utah</v>
      </c>
      <c r="C2880" t="s">
        <v>1076</v>
      </c>
      <c r="D2880">
        <v>20412</v>
      </c>
      <c r="E2880">
        <v>1485</v>
      </c>
    </row>
    <row r="2881" spans="1:5" x14ac:dyDescent="0.25">
      <c r="A2881" t="s">
        <v>1803</v>
      </c>
      <c r="B2881" t="str">
        <f>VLOOKUP(Counties_by_State_Code[[#This Row],[State_Code]],Territory_by_Code[],2)</f>
        <v>Utah</v>
      </c>
      <c r="C2881" t="s">
        <v>1806</v>
      </c>
      <c r="D2881">
        <v>935</v>
      </c>
      <c r="E2881">
        <v>721</v>
      </c>
    </row>
    <row r="2882" spans="1:5" x14ac:dyDescent="0.25">
      <c r="A2882" t="s">
        <v>1803</v>
      </c>
      <c r="B2882" t="str">
        <f>VLOOKUP(Counties_by_State_Code[[#This Row],[State_Code]],Territory_by_Code[],2)</f>
        <v>Utah</v>
      </c>
      <c r="C2882" t="s">
        <v>626</v>
      </c>
      <c r="D2882">
        <v>362679</v>
      </c>
      <c r="E2882">
        <v>634</v>
      </c>
    </row>
    <row r="2883" spans="1:5" x14ac:dyDescent="0.25">
      <c r="A2883" t="s">
        <v>1803</v>
      </c>
      <c r="B2883" t="str">
        <f>VLOOKUP(Counties_by_State_Code[[#This Row],[State_Code]],Territory_by_Code[],2)</f>
        <v>Utah</v>
      </c>
      <c r="C2883" t="s">
        <v>1807</v>
      </c>
      <c r="D2883">
        <v>19596</v>
      </c>
      <c r="E2883">
        <v>3256</v>
      </c>
    </row>
    <row r="2884" spans="1:5" x14ac:dyDescent="0.25">
      <c r="A2884" t="s">
        <v>1803</v>
      </c>
      <c r="B2884" t="str">
        <f>VLOOKUP(Counties_by_State_Code[[#This Row],[State_Code]],Territory_by_Code[],2)</f>
        <v>Utah</v>
      </c>
      <c r="C2884" t="s">
        <v>1808</v>
      </c>
      <c r="D2884">
        <v>9825</v>
      </c>
      <c r="E2884">
        <v>4472</v>
      </c>
    </row>
    <row r="2885" spans="1:5" x14ac:dyDescent="0.25">
      <c r="A2885" t="s">
        <v>1803</v>
      </c>
      <c r="B2885" t="str">
        <f>VLOOKUP(Counties_by_State_Code[[#This Row],[State_Code]],Territory_by_Code[],2)</f>
        <v>Utah</v>
      </c>
      <c r="C2885" t="s">
        <v>260</v>
      </c>
      <c r="D2885">
        <v>5083</v>
      </c>
      <c r="E2885">
        <v>5208</v>
      </c>
    </row>
    <row r="2886" spans="1:5" x14ac:dyDescent="0.25">
      <c r="A2886" t="s">
        <v>1803</v>
      </c>
      <c r="B2886" t="str">
        <f>VLOOKUP(Counties_by_State_Code[[#This Row],[State_Code]],Territory_by_Code[],2)</f>
        <v>Utah</v>
      </c>
      <c r="C2886" t="s">
        <v>262</v>
      </c>
      <c r="D2886">
        <v>9669</v>
      </c>
      <c r="E2886">
        <v>3684</v>
      </c>
    </row>
    <row r="2887" spans="1:5" x14ac:dyDescent="0.25">
      <c r="A2887" t="s">
        <v>1803</v>
      </c>
      <c r="B2887" t="str">
        <f>VLOOKUP(Counties_by_State_Code[[#This Row],[State_Code]],Territory_by_Code[],2)</f>
        <v>Utah</v>
      </c>
      <c r="C2887" t="s">
        <v>899</v>
      </c>
      <c r="D2887">
        <v>57289</v>
      </c>
      <c r="E2887">
        <v>3301</v>
      </c>
    </row>
    <row r="2888" spans="1:5" x14ac:dyDescent="0.25">
      <c r="A2888" t="s">
        <v>1803</v>
      </c>
      <c r="B2888" t="str">
        <f>VLOOKUP(Counties_by_State_Code[[#This Row],[State_Code]],Territory_by_Code[],2)</f>
        <v>Utah</v>
      </c>
      <c r="C2888" t="s">
        <v>1809</v>
      </c>
      <c r="D2888">
        <v>11786</v>
      </c>
      <c r="E2888">
        <v>3406</v>
      </c>
    </row>
    <row r="2889" spans="1:5" x14ac:dyDescent="0.25">
      <c r="A2889" t="s">
        <v>1803</v>
      </c>
      <c r="B2889" t="str">
        <f>VLOOKUP(Counties_by_State_Code[[#This Row],[State_Code]],Territory_by_Code[],2)</f>
        <v>Utah</v>
      </c>
      <c r="C2889" t="s">
        <v>540</v>
      </c>
      <c r="D2889">
        <v>7667</v>
      </c>
      <c r="E2889">
        <v>4109</v>
      </c>
    </row>
    <row r="2890" spans="1:5" x14ac:dyDescent="0.25">
      <c r="A2890" t="s">
        <v>1803</v>
      </c>
      <c r="B2890" t="str">
        <f>VLOOKUP(Counties_by_State_Code[[#This Row],[State_Code]],Territory_by_Code[],2)</f>
        <v>Utah</v>
      </c>
      <c r="C2890" t="s">
        <v>1810</v>
      </c>
      <c r="D2890">
        <v>12975</v>
      </c>
      <c r="E2890">
        <v>6828</v>
      </c>
    </row>
    <row r="2891" spans="1:5" x14ac:dyDescent="0.25">
      <c r="A2891" t="s">
        <v>1803</v>
      </c>
      <c r="B2891" t="str">
        <f>VLOOKUP(Counties_by_State_Code[[#This Row],[State_Code]],Territory_by_Code[],2)</f>
        <v>Utah</v>
      </c>
      <c r="C2891" t="s">
        <v>52</v>
      </c>
      <c r="D2891">
        <v>12295</v>
      </c>
      <c r="E2891">
        <v>611</v>
      </c>
    </row>
    <row r="2892" spans="1:5" x14ac:dyDescent="0.25">
      <c r="A2892" t="s">
        <v>1803</v>
      </c>
      <c r="B2892" t="str">
        <f>VLOOKUP(Counties_by_State_Code[[#This Row],[State_Code]],Territory_by_Code[],2)</f>
        <v>Utah</v>
      </c>
      <c r="C2892" t="s">
        <v>1811</v>
      </c>
      <c r="D2892">
        <v>1438</v>
      </c>
      <c r="E2892">
        <v>766</v>
      </c>
    </row>
    <row r="2893" spans="1:5" x14ac:dyDescent="0.25">
      <c r="A2893" t="s">
        <v>1803</v>
      </c>
      <c r="B2893" t="str">
        <f>VLOOKUP(Counties_by_State_Code[[#This Row],[State_Code]],Territory_by_Code[],2)</f>
        <v>Utah</v>
      </c>
      <c r="C2893" t="s">
        <v>1812</v>
      </c>
      <c r="D2893">
        <v>2510</v>
      </c>
      <c r="E2893">
        <v>1086</v>
      </c>
    </row>
    <row r="2894" spans="1:5" x14ac:dyDescent="0.25">
      <c r="A2894" t="s">
        <v>1803</v>
      </c>
      <c r="B2894" t="str">
        <f>VLOOKUP(Counties_by_State_Code[[#This Row],[State_Code]],Territory_by_Code[],2)</f>
        <v>Utah</v>
      </c>
      <c r="C2894" t="s">
        <v>1813</v>
      </c>
      <c r="D2894">
        <v>1185238</v>
      </c>
      <c r="E2894">
        <v>807</v>
      </c>
    </row>
    <row r="2895" spans="1:5" x14ac:dyDescent="0.25">
      <c r="A2895" t="s">
        <v>1803</v>
      </c>
      <c r="B2895" t="str">
        <f>VLOOKUP(Counties_by_State_Code[[#This Row],[State_Code]],Territory_by_Code[],2)</f>
        <v>Utah</v>
      </c>
      <c r="C2895" t="s">
        <v>286</v>
      </c>
      <c r="D2895">
        <v>14518</v>
      </c>
      <c r="E2895">
        <v>7933</v>
      </c>
    </row>
    <row r="2896" spans="1:5" x14ac:dyDescent="0.25">
      <c r="A2896" t="s">
        <v>1803</v>
      </c>
      <c r="B2896" t="str">
        <f>VLOOKUP(Counties_by_State_Code[[#This Row],[State_Code]],Territory_by_Code[],2)</f>
        <v>Utah</v>
      </c>
      <c r="C2896" t="s">
        <v>1814</v>
      </c>
      <c r="D2896">
        <v>28437</v>
      </c>
      <c r="E2896">
        <v>1603</v>
      </c>
    </row>
    <row r="2897" spans="1:5" x14ac:dyDescent="0.25">
      <c r="A2897" t="s">
        <v>1803</v>
      </c>
      <c r="B2897" t="str">
        <f>VLOOKUP(Counties_by_State_Code[[#This Row],[State_Code]],Territory_by_Code[],2)</f>
        <v>Utah</v>
      </c>
      <c r="C2897" t="s">
        <v>171</v>
      </c>
      <c r="D2897">
        <v>21522</v>
      </c>
      <c r="E2897">
        <v>1918</v>
      </c>
    </row>
    <row r="2898" spans="1:5" x14ac:dyDescent="0.25">
      <c r="A2898" t="s">
        <v>1803</v>
      </c>
      <c r="B2898" t="str">
        <f>VLOOKUP(Counties_by_State_Code[[#This Row],[State_Code]],Territory_by_Code[],2)</f>
        <v>Utah</v>
      </c>
      <c r="C2898" t="s">
        <v>289</v>
      </c>
      <c r="D2898">
        <v>42357</v>
      </c>
      <c r="E2898">
        <v>1882</v>
      </c>
    </row>
    <row r="2899" spans="1:5" x14ac:dyDescent="0.25">
      <c r="A2899" t="s">
        <v>1803</v>
      </c>
      <c r="B2899" t="str">
        <f>VLOOKUP(Counties_by_State_Code[[#This Row],[State_Code]],Territory_by_Code[],2)</f>
        <v>Utah</v>
      </c>
      <c r="C2899" t="s">
        <v>1815</v>
      </c>
      <c r="D2899">
        <v>72698</v>
      </c>
      <c r="E2899">
        <v>7286</v>
      </c>
    </row>
    <row r="2900" spans="1:5" x14ac:dyDescent="0.25">
      <c r="A2900" t="s">
        <v>1803</v>
      </c>
      <c r="B2900" t="str">
        <f>VLOOKUP(Counties_by_State_Code[[#This Row],[State_Code]],Territory_by_Code[],2)</f>
        <v>Utah</v>
      </c>
      <c r="C2900" t="s">
        <v>1816</v>
      </c>
      <c r="D2900">
        <v>35620</v>
      </c>
      <c r="E2900">
        <v>4501</v>
      </c>
    </row>
    <row r="2901" spans="1:5" x14ac:dyDescent="0.25">
      <c r="A2901" t="s">
        <v>1803</v>
      </c>
      <c r="B2901" t="str">
        <f>VLOOKUP(Counties_by_State_Code[[#This Row],[State_Code]],Territory_by_Code[],2)</f>
        <v>Utah</v>
      </c>
      <c r="C2901" t="s">
        <v>1817</v>
      </c>
      <c r="D2901">
        <v>659399</v>
      </c>
      <c r="E2901">
        <v>2144</v>
      </c>
    </row>
    <row r="2902" spans="1:5" x14ac:dyDescent="0.25">
      <c r="A2902" t="s">
        <v>1803</v>
      </c>
      <c r="B2902" t="str">
        <f>VLOOKUP(Counties_by_State_Code[[#This Row],[State_Code]],Territory_by_Code[],2)</f>
        <v>Utah</v>
      </c>
      <c r="C2902" t="s">
        <v>1818</v>
      </c>
      <c r="D2902">
        <v>34788</v>
      </c>
      <c r="E2902">
        <v>1206</v>
      </c>
    </row>
    <row r="2903" spans="1:5" x14ac:dyDescent="0.25">
      <c r="A2903" t="s">
        <v>1803</v>
      </c>
      <c r="B2903" t="str">
        <f>VLOOKUP(Counties_by_State_Code[[#This Row],[State_Code]],Territory_by_Code[],2)</f>
        <v>Utah</v>
      </c>
      <c r="C2903" t="s">
        <v>65</v>
      </c>
      <c r="D2903">
        <v>180279</v>
      </c>
      <c r="E2903">
        <v>2430</v>
      </c>
    </row>
    <row r="2904" spans="1:5" x14ac:dyDescent="0.25">
      <c r="A2904" t="s">
        <v>1803</v>
      </c>
      <c r="B2904" t="str">
        <f>VLOOKUP(Counties_by_State_Code[[#This Row],[State_Code]],Territory_by_Code[],2)</f>
        <v>Utah</v>
      </c>
      <c r="C2904" t="s">
        <v>468</v>
      </c>
      <c r="D2904">
        <v>2486</v>
      </c>
      <c r="E2904">
        <v>2466</v>
      </c>
    </row>
    <row r="2905" spans="1:5" x14ac:dyDescent="0.25">
      <c r="A2905" t="s">
        <v>1803</v>
      </c>
      <c r="B2905" t="str">
        <f>VLOOKUP(Counties_by_State_Code[[#This Row],[State_Code]],Territory_by_Code[],2)</f>
        <v>Utah</v>
      </c>
      <c r="C2905" t="s">
        <v>1819</v>
      </c>
      <c r="D2905">
        <v>262223</v>
      </c>
      <c r="E2905">
        <v>659</v>
      </c>
    </row>
    <row r="2906" spans="1:5" x14ac:dyDescent="0.25">
      <c r="A2906" t="s">
        <v>1821</v>
      </c>
      <c r="B2906" t="str">
        <f>VLOOKUP(Counties_by_State_Code[[#This Row],[State_Code]],Territory_by_Code[],2)</f>
        <v>Vermont</v>
      </c>
      <c r="C2906" t="s">
        <v>1820</v>
      </c>
      <c r="D2906">
        <v>37363</v>
      </c>
      <c r="E2906">
        <v>766</v>
      </c>
    </row>
    <row r="2907" spans="1:5" x14ac:dyDescent="0.25">
      <c r="A2907" t="s">
        <v>1821</v>
      </c>
      <c r="B2907" t="str">
        <f>VLOOKUP(Counties_by_State_Code[[#This Row],[State_Code]],Territory_by_Code[],2)</f>
        <v>Vermont</v>
      </c>
      <c r="C2907" t="s">
        <v>1822</v>
      </c>
      <c r="D2907">
        <v>37347</v>
      </c>
      <c r="E2907">
        <v>675</v>
      </c>
    </row>
    <row r="2908" spans="1:5" x14ac:dyDescent="0.25">
      <c r="A2908" t="s">
        <v>1821</v>
      </c>
      <c r="B2908" t="str">
        <f>VLOOKUP(Counties_by_State_Code[[#This Row],[State_Code]],Territory_by_Code[],2)</f>
        <v>Vermont</v>
      </c>
      <c r="C2908" t="s">
        <v>1823</v>
      </c>
      <c r="D2908">
        <v>30233</v>
      </c>
      <c r="E2908">
        <v>649</v>
      </c>
    </row>
    <row r="2909" spans="1:5" x14ac:dyDescent="0.25">
      <c r="A2909" t="s">
        <v>1821</v>
      </c>
      <c r="B2909" t="str">
        <f>VLOOKUP(Counties_by_State_Code[[#This Row],[State_Code]],Territory_by_Code[],2)</f>
        <v>Vermont</v>
      </c>
      <c r="C2909" t="s">
        <v>1824</v>
      </c>
      <c r="D2909">
        <v>168323</v>
      </c>
      <c r="E2909">
        <v>537</v>
      </c>
    </row>
    <row r="2910" spans="1:5" x14ac:dyDescent="0.25">
      <c r="A2910" t="s">
        <v>1821</v>
      </c>
      <c r="B2910" t="str">
        <f>VLOOKUP(Counties_by_State_Code[[#This Row],[State_Code]],Territory_by_Code[],2)</f>
        <v>Vermont</v>
      </c>
      <c r="C2910" t="s">
        <v>866</v>
      </c>
      <c r="D2910">
        <v>5920</v>
      </c>
      <c r="E2910">
        <v>664</v>
      </c>
    </row>
    <row r="2911" spans="1:5" x14ac:dyDescent="0.25">
      <c r="A2911" t="s">
        <v>1821</v>
      </c>
      <c r="B2911" t="str">
        <f>VLOOKUP(Counties_by_State_Code[[#This Row],[State_Code]],Territory_by_Code[],2)</f>
        <v>Vermont</v>
      </c>
      <c r="C2911" t="s">
        <v>30</v>
      </c>
      <c r="D2911">
        <v>49946</v>
      </c>
      <c r="E2911">
        <v>634</v>
      </c>
    </row>
    <row r="2912" spans="1:5" x14ac:dyDescent="0.25">
      <c r="A2912" t="s">
        <v>1821</v>
      </c>
      <c r="B2912" t="str">
        <f>VLOOKUP(Counties_by_State_Code[[#This Row],[State_Code]],Territory_by_Code[],2)</f>
        <v>Vermont</v>
      </c>
      <c r="C2912" t="s">
        <v>1825</v>
      </c>
      <c r="D2912">
        <v>7293</v>
      </c>
      <c r="E2912">
        <v>195</v>
      </c>
    </row>
    <row r="2913" spans="1:5" x14ac:dyDescent="0.25">
      <c r="A2913" t="s">
        <v>1821</v>
      </c>
      <c r="B2913" t="str">
        <f>VLOOKUP(Counties_by_State_Code[[#This Row],[State_Code]],Territory_by_Code[],2)</f>
        <v>Vermont</v>
      </c>
      <c r="C2913" t="s">
        <v>1826</v>
      </c>
      <c r="D2913">
        <v>25945</v>
      </c>
      <c r="E2913">
        <v>459</v>
      </c>
    </row>
    <row r="2914" spans="1:5" x14ac:dyDescent="0.25">
      <c r="A2914" t="s">
        <v>1821</v>
      </c>
      <c r="B2914" t="str">
        <f>VLOOKUP(Counties_by_State_Code[[#This Row],[State_Code]],Territory_by_Code[],2)</f>
        <v>Vermont</v>
      </c>
      <c r="C2914" t="s">
        <v>208</v>
      </c>
      <c r="D2914">
        <v>29277</v>
      </c>
      <c r="E2914">
        <v>687</v>
      </c>
    </row>
    <row r="2915" spans="1:5" x14ac:dyDescent="0.25">
      <c r="A2915" t="s">
        <v>1821</v>
      </c>
      <c r="B2915" t="str">
        <f>VLOOKUP(Counties_by_State_Code[[#This Row],[State_Code]],Territory_by_Code[],2)</f>
        <v>Vermont</v>
      </c>
      <c r="C2915" t="s">
        <v>809</v>
      </c>
      <c r="D2915">
        <v>27393</v>
      </c>
      <c r="E2915">
        <v>693</v>
      </c>
    </row>
    <row r="2916" spans="1:5" x14ac:dyDescent="0.25">
      <c r="A2916" t="s">
        <v>1821</v>
      </c>
      <c r="B2916" t="str">
        <f>VLOOKUP(Counties_by_State_Code[[#This Row],[State_Code]],Territory_by_Code[],2)</f>
        <v>Vermont</v>
      </c>
      <c r="C2916" t="s">
        <v>1827</v>
      </c>
      <c r="D2916">
        <v>60572</v>
      </c>
      <c r="E2916">
        <v>930</v>
      </c>
    </row>
    <row r="2917" spans="1:5" x14ac:dyDescent="0.25">
      <c r="A2917" t="s">
        <v>1821</v>
      </c>
      <c r="B2917" t="str">
        <f>VLOOKUP(Counties_by_State_Code[[#This Row],[State_Code]],Territory_by_Code[],2)</f>
        <v>Vermont</v>
      </c>
      <c r="C2917" t="s">
        <v>65</v>
      </c>
      <c r="D2917">
        <v>59807</v>
      </c>
      <c r="E2917">
        <v>687</v>
      </c>
    </row>
    <row r="2918" spans="1:5" x14ac:dyDescent="0.25">
      <c r="A2918" t="s">
        <v>1821</v>
      </c>
      <c r="B2918" t="str">
        <f>VLOOKUP(Counties_by_State_Code[[#This Row],[State_Code]],Territory_by_Code[],2)</f>
        <v>Vermont</v>
      </c>
      <c r="C2918" t="s">
        <v>309</v>
      </c>
      <c r="D2918">
        <v>45905</v>
      </c>
      <c r="E2918">
        <v>785</v>
      </c>
    </row>
    <row r="2919" spans="1:5" x14ac:dyDescent="0.25">
      <c r="A2919" t="s">
        <v>1821</v>
      </c>
      <c r="B2919" t="str">
        <f>VLOOKUP(Counties_by_State_Code[[#This Row],[State_Code]],Territory_by_Code[],2)</f>
        <v>Vermont</v>
      </c>
      <c r="C2919" t="s">
        <v>1828</v>
      </c>
      <c r="D2919">
        <v>57753</v>
      </c>
      <c r="E2919">
        <v>969</v>
      </c>
    </row>
    <row r="2920" spans="1:5" x14ac:dyDescent="0.25">
      <c r="A2920" t="s">
        <v>1830</v>
      </c>
      <c r="B2920" t="str">
        <f>VLOOKUP(Counties_by_State_Code[[#This Row],[State_Code]],Territory_by_Code[],2)</f>
        <v>Virgin Islands, U.S.</v>
      </c>
      <c r="C2920" t="s">
        <v>1829</v>
      </c>
      <c r="D2920">
        <v>50601</v>
      </c>
      <c r="E2920">
        <v>84</v>
      </c>
    </row>
    <row r="2921" spans="1:5" x14ac:dyDescent="0.25">
      <c r="A2921" t="s">
        <v>1830</v>
      </c>
      <c r="B2921" t="str">
        <f>VLOOKUP(Counties_by_State_Code[[#This Row],[State_Code]],Territory_by_Code[],2)</f>
        <v>Virgin Islands, U.S.</v>
      </c>
      <c r="C2921" t="s">
        <v>1831</v>
      </c>
      <c r="D2921">
        <v>4170</v>
      </c>
      <c r="E2921">
        <v>20</v>
      </c>
    </row>
    <row r="2922" spans="1:5" x14ac:dyDescent="0.25">
      <c r="A2922" t="s">
        <v>1830</v>
      </c>
      <c r="B2922" t="str">
        <f>VLOOKUP(Counties_by_State_Code[[#This Row],[State_Code]],Territory_by_Code[],2)</f>
        <v>Virgin Islands, U.S.</v>
      </c>
      <c r="C2922" t="s">
        <v>1832</v>
      </c>
      <c r="D2922">
        <v>51634</v>
      </c>
      <c r="E2922">
        <v>32</v>
      </c>
    </row>
    <row r="2923" spans="1:5" x14ac:dyDescent="0.25">
      <c r="A2923" t="s">
        <v>1834</v>
      </c>
      <c r="B2923" t="str">
        <f>VLOOKUP(Counties_by_State_Code[[#This Row],[State_Code]],Territory_by_Code[],2)</f>
        <v>Virginia</v>
      </c>
      <c r="C2923" t="s">
        <v>1833</v>
      </c>
      <c r="D2923">
        <v>33413</v>
      </c>
      <c r="E2923">
        <v>455</v>
      </c>
    </row>
    <row r="2924" spans="1:5" x14ac:dyDescent="0.25">
      <c r="A2924" t="s">
        <v>1834</v>
      </c>
      <c r="B2924" t="str">
        <f>VLOOKUP(Counties_by_State_Code[[#This Row],[State_Code]],Territory_by_Code[],2)</f>
        <v>Virginia</v>
      </c>
      <c r="C2924" t="s">
        <v>1835</v>
      </c>
      <c r="D2924">
        <v>112395</v>
      </c>
      <c r="E2924">
        <v>723</v>
      </c>
    </row>
    <row r="2925" spans="1:5" x14ac:dyDescent="0.25">
      <c r="A2925" t="s">
        <v>1834</v>
      </c>
      <c r="B2925" t="str">
        <f>VLOOKUP(Counties_by_State_Code[[#This Row],[State_Code]],Territory_by_Code[],2)</f>
        <v>Virginia</v>
      </c>
      <c r="C2925" t="s">
        <v>1240</v>
      </c>
      <c r="D2925">
        <v>15223</v>
      </c>
      <c r="E2925">
        <v>446</v>
      </c>
    </row>
    <row r="2926" spans="1:5" x14ac:dyDescent="0.25">
      <c r="A2926" t="s">
        <v>1834</v>
      </c>
      <c r="B2926" t="str">
        <f>VLOOKUP(Counties_by_State_Code[[#This Row],[State_Code]],Territory_by_Code[],2)</f>
        <v>Virginia</v>
      </c>
      <c r="C2926" t="s">
        <v>1836</v>
      </c>
      <c r="D2926">
        <v>13265</v>
      </c>
      <c r="E2926">
        <v>357</v>
      </c>
    </row>
    <row r="2927" spans="1:5" x14ac:dyDescent="0.25">
      <c r="A2927" t="s">
        <v>1834</v>
      </c>
      <c r="B2927" t="str">
        <f>VLOOKUP(Counties_by_State_Code[[#This Row],[State_Code]],Territory_by_Code[],2)</f>
        <v>Virginia</v>
      </c>
      <c r="C2927" t="s">
        <v>1837</v>
      </c>
      <c r="D2927">
        <v>31307</v>
      </c>
      <c r="E2927">
        <v>475</v>
      </c>
    </row>
    <row r="2928" spans="1:5" x14ac:dyDescent="0.25">
      <c r="A2928" t="s">
        <v>1834</v>
      </c>
      <c r="B2928" t="str">
        <f>VLOOKUP(Counties_by_State_Code[[#This Row],[State_Code]],Territory_by_Code[],2)</f>
        <v>Virginia</v>
      </c>
      <c r="C2928" t="s">
        <v>1838</v>
      </c>
      <c r="D2928">
        <v>16119</v>
      </c>
      <c r="E2928">
        <v>334</v>
      </c>
    </row>
    <row r="2929" spans="1:5" x14ac:dyDescent="0.25">
      <c r="A2929" t="s">
        <v>1834</v>
      </c>
      <c r="B2929" t="str">
        <f>VLOOKUP(Counties_by_State_Code[[#This Row],[State_Code]],Territory_by_Code[],2)</f>
        <v>Virginia</v>
      </c>
      <c r="C2929" t="s">
        <v>1839</v>
      </c>
      <c r="D2929">
        <v>238643</v>
      </c>
      <c r="E2929">
        <v>26</v>
      </c>
    </row>
    <row r="2930" spans="1:5" x14ac:dyDescent="0.25">
      <c r="A2930" t="s">
        <v>1834</v>
      </c>
      <c r="B2930" t="str">
        <f>VLOOKUP(Counties_by_State_Code[[#This Row],[State_Code]],Territory_by_Code[],2)</f>
        <v>Virginia</v>
      </c>
      <c r="C2930" t="s">
        <v>1840</v>
      </c>
      <c r="D2930">
        <v>77487</v>
      </c>
      <c r="E2930">
        <v>971</v>
      </c>
    </row>
    <row r="2931" spans="1:5" x14ac:dyDescent="0.25">
      <c r="A2931" t="s">
        <v>1834</v>
      </c>
      <c r="B2931" t="str">
        <f>VLOOKUP(Counties_by_State_Code[[#This Row],[State_Code]],Territory_by_Code[],2)</f>
        <v>Virginia</v>
      </c>
      <c r="C2931" t="s">
        <v>731</v>
      </c>
      <c r="D2931">
        <v>4209</v>
      </c>
      <c r="E2931">
        <v>532</v>
      </c>
    </row>
    <row r="2932" spans="1:5" x14ac:dyDescent="0.25">
      <c r="A2932" t="s">
        <v>1834</v>
      </c>
      <c r="B2932" t="str">
        <f>VLOOKUP(Counties_by_State_Code[[#This Row],[State_Code]],Territory_by_Code[],2)</f>
        <v>Virginia</v>
      </c>
      <c r="C2932" t="s">
        <v>1438</v>
      </c>
      <c r="D2932">
        <v>79462</v>
      </c>
      <c r="E2932">
        <v>755</v>
      </c>
    </row>
    <row r="2933" spans="1:5" x14ac:dyDescent="0.25">
      <c r="A2933" t="s">
        <v>1834</v>
      </c>
      <c r="B2933" t="str">
        <f>VLOOKUP(Counties_by_State_Code[[#This Row],[State_Code]],Territory_by_Code[],2)</f>
        <v>Virginia</v>
      </c>
      <c r="C2933" t="s">
        <v>1841</v>
      </c>
      <c r="D2933">
        <v>6270</v>
      </c>
      <c r="E2933">
        <v>359</v>
      </c>
    </row>
    <row r="2934" spans="1:5" x14ac:dyDescent="0.25">
      <c r="A2934" t="s">
        <v>1834</v>
      </c>
      <c r="B2934" t="str">
        <f>VLOOKUP(Counties_by_State_Code[[#This Row],[State_Code]],Territory_by_Code[],2)</f>
        <v>Virginia</v>
      </c>
      <c r="C2934" t="s">
        <v>1842</v>
      </c>
      <c r="D2934">
        <v>33596</v>
      </c>
      <c r="E2934">
        <v>543</v>
      </c>
    </row>
    <row r="2935" spans="1:5" x14ac:dyDescent="0.25">
      <c r="A2935" t="s">
        <v>1834</v>
      </c>
      <c r="B2935" t="str">
        <f>VLOOKUP(Counties_by_State_Code[[#This Row],[State_Code]],Territory_by_Code[],2)</f>
        <v>Virginia</v>
      </c>
      <c r="C2935" t="s">
        <v>1247</v>
      </c>
      <c r="D2935">
        <v>15849</v>
      </c>
      <c r="E2935">
        <v>566</v>
      </c>
    </row>
    <row r="2936" spans="1:5" x14ac:dyDescent="0.25">
      <c r="A2936" t="s">
        <v>1834</v>
      </c>
      <c r="B2936" t="str">
        <f>VLOOKUP(Counties_by_State_Code[[#This Row],[State_Code]],Territory_by_Code[],2)</f>
        <v>Virginia</v>
      </c>
      <c r="C2936" t="s">
        <v>621</v>
      </c>
      <c r="D2936">
        <v>20355</v>
      </c>
      <c r="E2936">
        <v>504</v>
      </c>
    </row>
    <row r="2937" spans="1:5" x14ac:dyDescent="0.25">
      <c r="A2937" t="s">
        <v>1834</v>
      </c>
      <c r="B2937" t="str">
        <f>VLOOKUP(Counties_by_State_Code[[#This Row],[State_Code]],Territory_by_Code[],2)</f>
        <v>Virginia</v>
      </c>
      <c r="C2937" t="s">
        <v>1843</v>
      </c>
      <c r="D2937">
        <v>16824</v>
      </c>
      <c r="E2937">
        <v>581</v>
      </c>
    </row>
    <row r="2938" spans="1:5" x14ac:dyDescent="0.25">
      <c r="A2938" t="s">
        <v>1834</v>
      </c>
      <c r="B2938" t="str">
        <f>VLOOKUP(Counties_by_State_Code[[#This Row],[State_Code]],Territory_by_Code[],2)</f>
        <v>Virginia</v>
      </c>
      <c r="C2938" t="s">
        <v>741</v>
      </c>
      <c r="D2938">
        <v>55696</v>
      </c>
      <c r="E2938">
        <v>504</v>
      </c>
    </row>
    <row r="2939" spans="1:5" x14ac:dyDescent="0.25">
      <c r="A2939" t="s">
        <v>1834</v>
      </c>
      <c r="B2939" t="str">
        <f>VLOOKUP(Counties_by_State_Code[[#This Row],[State_Code]],Territory_by_Code[],2)</f>
        <v>Virginia</v>
      </c>
      <c r="C2939" t="s">
        <v>848</v>
      </c>
      <c r="D2939">
        <v>30887</v>
      </c>
      <c r="E2939">
        <v>533</v>
      </c>
    </row>
    <row r="2940" spans="1:5" x14ac:dyDescent="0.25">
      <c r="A2940" t="s">
        <v>1834</v>
      </c>
      <c r="B2940" t="str">
        <f>VLOOKUP(Counties_by_State_Code[[#This Row],[State_Code]],Territory_by_Code[],2)</f>
        <v>Virginia</v>
      </c>
      <c r="C2940" t="s">
        <v>128</v>
      </c>
      <c r="D2940">
        <v>29155</v>
      </c>
      <c r="E2940">
        <v>476</v>
      </c>
    </row>
    <row r="2941" spans="1:5" x14ac:dyDescent="0.25">
      <c r="A2941" t="s">
        <v>1834</v>
      </c>
      <c r="B2941" t="str">
        <f>VLOOKUP(Counties_by_State_Code[[#This Row],[State_Code]],Territory_by_Code[],2)</f>
        <v>Virginia</v>
      </c>
      <c r="C2941" t="s">
        <v>1844</v>
      </c>
      <c r="D2941">
        <v>6773</v>
      </c>
      <c r="E2941">
        <v>182</v>
      </c>
    </row>
    <row r="2942" spans="1:5" x14ac:dyDescent="0.25">
      <c r="A2942" t="s">
        <v>1834</v>
      </c>
      <c r="B2942" t="str">
        <f>VLOOKUP(Counties_by_State_Code[[#This Row],[State_Code]],Territory_by_Code[],2)</f>
        <v>Virginia</v>
      </c>
      <c r="C2942" t="s">
        <v>323</v>
      </c>
      <c r="D2942">
        <v>11529</v>
      </c>
      <c r="E2942">
        <v>475</v>
      </c>
    </row>
    <row r="2943" spans="1:5" x14ac:dyDescent="0.25">
      <c r="A2943" t="s">
        <v>1834</v>
      </c>
      <c r="B2943" t="str">
        <f>VLOOKUP(Counties_by_State_Code[[#This Row],[State_Code]],Territory_by_Code[],2)</f>
        <v>Virginia</v>
      </c>
      <c r="C2943" t="s">
        <v>1557</v>
      </c>
      <c r="D2943">
        <v>364548</v>
      </c>
      <c r="E2943">
        <v>426</v>
      </c>
    </row>
    <row r="2944" spans="1:5" x14ac:dyDescent="0.25">
      <c r="A2944" t="s">
        <v>1834</v>
      </c>
      <c r="B2944" t="str">
        <f>VLOOKUP(Counties_by_State_Code[[#This Row],[State_Code]],Territory_by_Code[],2)</f>
        <v>Virginia</v>
      </c>
      <c r="C2944" t="s">
        <v>13</v>
      </c>
      <c r="D2944">
        <v>14783</v>
      </c>
      <c r="E2944">
        <v>177</v>
      </c>
    </row>
    <row r="2945" spans="1:5" x14ac:dyDescent="0.25">
      <c r="A2945" t="s">
        <v>1834</v>
      </c>
      <c r="B2945" t="str">
        <f>VLOOKUP(Counties_by_State_Code[[#This Row],[State_Code]],Territory_by_Code[],2)</f>
        <v>Virginia</v>
      </c>
      <c r="C2945" t="s">
        <v>1385</v>
      </c>
      <c r="D2945">
        <v>4892</v>
      </c>
      <c r="E2945">
        <v>330</v>
      </c>
    </row>
    <row r="2946" spans="1:5" x14ac:dyDescent="0.25">
      <c r="A2946" t="s">
        <v>1834</v>
      </c>
      <c r="B2946" t="str">
        <f>VLOOKUP(Counties_by_State_Code[[#This Row],[State_Code]],Territory_by_Code[],2)</f>
        <v>Virginia</v>
      </c>
      <c r="C2946" t="s">
        <v>1845</v>
      </c>
      <c r="D2946">
        <v>52552</v>
      </c>
      <c r="E2946">
        <v>381</v>
      </c>
    </row>
    <row r="2947" spans="1:5" x14ac:dyDescent="0.25">
      <c r="A2947" t="s">
        <v>1834</v>
      </c>
      <c r="B2947" t="str">
        <f>VLOOKUP(Counties_by_State_Code[[#This Row],[State_Code]],Territory_by_Code[],2)</f>
        <v>Virginia</v>
      </c>
      <c r="C2947" t="s">
        <v>527</v>
      </c>
      <c r="D2947">
        <v>9675</v>
      </c>
      <c r="E2947">
        <v>298</v>
      </c>
    </row>
    <row r="2948" spans="1:5" x14ac:dyDescent="0.25">
      <c r="A2948" t="s">
        <v>1834</v>
      </c>
      <c r="B2948" t="str">
        <f>VLOOKUP(Counties_by_State_Code[[#This Row],[State_Code]],Territory_by_Code[],2)</f>
        <v>Virginia</v>
      </c>
      <c r="C2948" t="s">
        <v>1846</v>
      </c>
      <c r="D2948">
        <v>14124</v>
      </c>
      <c r="E2948">
        <v>333</v>
      </c>
    </row>
    <row r="2949" spans="1:5" x14ac:dyDescent="0.25">
      <c r="A2949" t="s">
        <v>1834</v>
      </c>
      <c r="B2949" t="str">
        <f>VLOOKUP(Counties_by_State_Code[[#This Row],[State_Code]],Territory_by_Code[],2)</f>
        <v>Virginia</v>
      </c>
      <c r="C2949" t="s">
        <v>1847</v>
      </c>
      <c r="D2949">
        <v>27947</v>
      </c>
      <c r="E2949">
        <v>504</v>
      </c>
    </row>
    <row r="2950" spans="1:5" x14ac:dyDescent="0.25">
      <c r="A2950" t="s">
        <v>1834</v>
      </c>
      <c r="B2950" t="str">
        <f>VLOOKUP(Counties_by_State_Code[[#This Row],[State_Code]],Territory_by_Code[],2)</f>
        <v>Virginia</v>
      </c>
      <c r="C2950" t="s">
        <v>866</v>
      </c>
      <c r="D2950">
        <v>10599</v>
      </c>
      <c r="E2950">
        <v>258</v>
      </c>
    </row>
    <row r="2951" spans="1:5" x14ac:dyDescent="0.25">
      <c r="A2951" t="s">
        <v>1834</v>
      </c>
      <c r="B2951" t="str">
        <f>VLOOKUP(Counties_by_State_Code[[#This Row],[State_Code]],Territory_by_Code[],2)</f>
        <v>Virginia</v>
      </c>
      <c r="C2951" t="s">
        <v>1848</v>
      </c>
      <c r="D2951">
        <v>1150309</v>
      </c>
      <c r="E2951">
        <v>396</v>
      </c>
    </row>
    <row r="2952" spans="1:5" x14ac:dyDescent="0.25">
      <c r="A2952" t="s">
        <v>1834</v>
      </c>
      <c r="B2952" t="str">
        <f>VLOOKUP(Counties_by_State_Code[[#This Row],[State_Code]],Territory_by_Code[],2)</f>
        <v>Virginia</v>
      </c>
      <c r="C2952" t="s">
        <v>1849</v>
      </c>
      <c r="D2952">
        <v>72972</v>
      </c>
      <c r="E2952">
        <v>650</v>
      </c>
    </row>
    <row r="2953" spans="1:5" x14ac:dyDescent="0.25">
      <c r="A2953" t="s">
        <v>1834</v>
      </c>
      <c r="B2953" t="str">
        <f>VLOOKUP(Counties_by_State_Code[[#This Row],[State_Code]],Territory_by_Code[],2)</f>
        <v>Virginia</v>
      </c>
      <c r="C2953" t="s">
        <v>408</v>
      </c>
      <c r="D2953">
        <v>15476</v>
      </c>
      <c r="E2953">
        <v>382</v>
      </c>
    </row>
    <row r="2954" spans="1:5" x14ac:dyDescent="0.25">
      <c r="A2954" t="s">
        <v>1834</v>
      </c>
      <c r="B2954" t="str">
        <f>VLOOKUP(Counties_by_State_Code[[#This Row],[State_Code]],Territory_by_Code[],2)</f>
        <v>Virginia</v>
      </c>
      <c r="C2954" t="s">
        <v>1850</v>
      </c>
      <c r="D2954">
        <v>27249</v>
      </c>
      <c r="E2954">
        <v>287</v>
      </c>
    </row>
    <row r="2955" spans="1:5" x14ac:dyDescent="0.25">
      <c r="A2955" t="s">
        <v>1834</v>
      </c>
      <c r="B2955" t="str">
        <f>VLOOKUP(Counties_by_State_Code[[#This Row],[State_Code]],Territory_by_Code[],2)</f>
        <v>Virginia</v>
      </c>
      <c r="C2955" t="s">
        <v>30</v>
      </c>
      <c r="D2955">
        <v>54477</v>
      </c>
      <c r="E2955">
        <v>692</v>
      </c>
    </row>
    <row r="2956" spans="1:5" x14ac:dyDescent="0.25">
      <c r="A2956" t="s">
        <v>1834</v>
      </c>
      <c r="B2956" t="str">
        <f>VLOOKUP(Counties_by_State_Code[[#This Row],[State_Code]],Territory_by_Code[],2)</f>
        <v>Virginia</v>
      </c>
      <c r="C2956" t="s">
        <v>852</v>
      </c>
      <c r="D2956">
        <v>91419</v>
      </c>
      <c r="E2956">
        <v>415</v>
      </c>
    </row>
    <row r="2957" spans="1:5" x14ac:dyDescent="0.25">
      <c r="A2957" t="s">
        <v>1834</v>
      </c>
      <c r="B2957" t="str">
        <f>VLOOKUP(Counties_by_State_Code[[#This Row],[State_Code]],Territory_by_Code[],2)</f>
        <v>Virginia</v>
      </c>
      <c r="C2957" t="s">
        <v>1625</v>
      </c>
      <c r="D2957">
        <v>16787</v>
      </c>
      <c r="E2957">
        <v>358</v>
      </c>
    </row>
    <row r="2958" spans="1:5" x14ac:dyDescent="0.25">
      <c r="A2958" t="s">
        <v>1834</v>
      </c>
      <c r="B2958" t="str">
        <f>VLOOKUP(Counties_by_State_Code[[#This Row],[State_Code]],Territory_by_Code[],2)</f>
        <v>Virginia</v>
      </c>
      <c r="C2958" t="s">
        <v>1175</v>
      </c>
      <c r="D2958">
        <v>38711</v>
      </c>
      <c r="E2958">
        <v>217</v>
      </c>
    </row>
    <row r="2959" spans="1:5" x14ac:dyDescent="0.25">
      <c r="A2959" t="s">
        <v>1834</v>
      </c>
      <c r="B2959" t="str">
        <f>VLOOKUP(Counties_by_State_Code[[#This Row],[State_Code]],Territory_by_Code[],2)</f>
        <v>Virginia</v>
      </c>
      <c r="C2959" t="s">
        <v>1851</v>
      </c>
      <c r="D2959">
        <v>24727</v>
      </c>
      <c r="E2959">
        <v>284</v>
      </c>
    </row>
    <row r="2960" spans="1:5" x14ac:dyDescent="0.25">
      <c r="A2960" t="s">
        <v>1834</v>
      </c>
      <c r="B2960" t="str">
        <f>VLOOKUP(Counties_by_State_Code[[#This Row],[State_Code]],Territory_by_Code[],2)</f>
        <v>Virginia</v>
      </c>
      <c r="C2960" t="s">
        <v>751</v>
      </c>
      <c r="D2960">
        <v>15333</v>
      </c>
      <c r="E2960">
        <v>443</v>
      </c>
    </row>
    <row r="2961" spans="1:5" x14ac:dyDescent="0.25">
      <c r="A2961" t="s">
        <v>1834</v>
      </c>
      <c r="B2961" t="str">
        <f>VLOOKUP(Counties_by_State_Code[[#This Row],[State_Code]],Territory_by_Code[],2)</f>
        <v>Virginia</v>
      </c>
      <c r="C2961" t="s">
        <v>32</v>
      </c>
      <c r="D2961">
        <v>20552</v>
      </c>
      <c r="E2961">
        <v>157</v>
      </c>
    </row>
    <row r="2962" spans="1:5" x14ac:dyDescent="0.25">
      <c r="A2962" t="s">
        <v>1834</v>
      </c>
      <c r="B2962" t="str">
        <f>VLOOKUP(Counties_by_State_Code[[#This Row],[State_Code]],Territory_by_Code[],2)</f>
        <v>Virginia</v>
      </c>
      <c r="C2962" t="s">
        <v>1852</v>
      </c>
      <c r="D2962">
        <v>11391</v>
      </c>
      <c r="E2962">
        <v>296</v>
      </c>
    </row>
    <row r="2963" spans="1:5" x14ac:dyDescent="0.25">
      <c r="A2963" t="s">
        <v>1834</v>
      </c>
      <c r="B2963" t="str">
        <f>VLOOKUP(Counties_by_State_Code[[#This Row],[State_Code]],Territory_by_Code[],2)</f>
        <v>Virginia</v>
      </c>
      <c r="C2963" t="s">
        <v>1267</v>
      </c>
      <c r="D2963">
        <v>34022</v>
      </c>
      <c r="E2963">
        <v>814</v>
      </c>
    </row>
    <row r="2964" spans="1:5" x14ac:dyDescent="0.25">
      <c r="A2964" t="s">
        <v>1834</v>
      </c>
      <c r="B2964" t="str">
        <f>VLOOKUP(Counties_by_State_Code[[#This Row],[State_Code]],Territory_by_Code[],2)</f>
        <v>Virginia</v>
      </c>
      <c r="C2964" t="s">
        <v>1853</v>
      </c>
      <c r="D2964">
        <v>109979</v>
      </c>
      <c r="E2964">
        <v>473</v>
      </c>
    </row>
    <row r="2965" spans="1:5" x14ac:dyDescent="0.25">
      <c r="A2965" t="s">
        <v>1834</v>
      </c>
      <c r="B2965" t="str">
        <f>VLOOKUP(Counties_by_State_Code[[#This Row],[State_Code]],Territory_by_Code[],2)</f>
        <v>Virginia</v>
      </c>
      <c r="C2965" t="s">
        <v>1854</v>
      </c>
      <c r="D2965">
        <v>334389</v>
      </c>
      <c r="E2965">
        <v>238</v>
      </c>
    </row>
    <row r="2966" spans="1:5" x14ac:dyDescent="0.25">
      <c r="A2966" t="s">
        <v>1834</v>
      </c>
      <c r="B2966" t="str">
        <f>VLOOKUP(Counties_by_State_Code[[#This Row],[State_Code]],Territory_by_Code[],2)</f>
        <v>Virginia</v>
      </c>
      <c r="C2966" t="s">
        <v>34</v>
      </c>
      <c r="D2966">
        <v>50948</v>
      </c>
      <c r="E2966">
        <v>382</v>
      </c>
    </row>
    <row r="2967" spans="1:5" x14ac:dyDescent="0.25">
      <c r="A2967" t="s">
        <v>1834</v>
      </c>
      <c r="B2967" t="str">
        <f>VLOOKUP(Counties_by_State_Code[[#This Row],[State_Code]],Territory_by_Code[],2)</f>
        <v>Virginia</v>
      </c>
      <c r="C2967" t="s">
        <v>1355</v>
      </c>
      <c r="D2967">
        <v>2232</v>
      </c>
      <c r="E2967">
        <v>416</v>
      </c>
    </row>
    <row r="2968" spans="1:5" x14ac:dyDescent="0.25">
      <c r="A2968" t="s">
        <v>1834</v>
      </c>
      <c r="B2968" t="str">
        <f>VLOOKUP(Counties_by_State_Code[[#This Row],[State_Code]],Territory_by_Code[],2)</f>
        <v>Virginia</v>
      </c>
      <c r="C2968" t="s">
        <v>1855</v>
      </c>
      <c r="D2968">
        <v>38606</v>
      </c>
      <c r="E2968">
        <v>316</v>
      </c>
    </row>
    <row r="2969" spans="1:5" x14ac:dyDescent="0.25">
      <c r="A2969" t="s">
        <v>1834</v>
      </c>
      <c r="B2969" t="str">
        <f>VLOOKUP(Counties_by_State_Code[[#This Row],[State_Code]],Territory_by_Code[],2)</f>
        <v>Virginia</v>
      </c>
      <c r="C2969" t="s">
        <v>1856</v>
      </c>
      <c r="D2969">
        <v>78254</v>
      </c>
      <c r="E2969">
        <v>143</v>
      </c>
    </row>
    <row r="2970" spans="1:5" x14ac:dyDescent="0.25">
      <c r="A2970" t="s">
        <v>1834</v>
      </c>
      <c r="B2970" t="str">
        <f>VLOOKUP(Counties_by_State_Code[[#This Row],[State_Code]],Territory_by_Code[],2)</f>
        <v>Virginia</v>
      </c>
      <c r="C2970" t="s">
        <v>1857</v>
      </c>
      <c r="D2970">
        <v>6608</v>
      </c>
      <c r="E2970">
        <v>316</v>
      </c>
    </row>
    <row r="2971" spans="1:5" x14ac:dyDescent="0.25">
      <c r="A2971" t="s">
        <v>1834</v>
      </c>
      <c r="B2971" t="str">
        <f>VLOOKUP(Counties_by_State_Code[[#This Row],[State_Code]],Territory_by_Code[],2)</f>
        <v>Virginia</v>
      </c>
      <c r="C2971" t="s">
        <v>1858</v>
      </c>
      <c r="D2971">
        <v>26723</v>
      </c>
      <c r="E2971">
        <v>180</v>
      </c>
    </row>
    <row r="2972" spans="1:5" x14ac:dyDescent="0.25">
      <c r="A2972" t="s">
        <v>1834</v>
      </c>
      <c r="B2972" t="str">
        <f>VLOOKUP(Counties_by_State_Code[[#This Row],[State_Code]],Territory_by_Code[],2)</f>
        <v>Virginia</v>
      </c>
      <c r="C2972" t="s">
        <v>1859</v>
      </c>
      <c r="D2972">
        <v>17810</v>
      </c>
      <c r="E2972">
        <v>275</v>
      </c>
    </row>
    <row r="2973" spans="1:5" x14ac:dyDescent="0.25">
      <c r="A2973" t="s">
        <v>1834</v>
      </c>
      <c r="B2973" t="str">
        <f>VLOOKUP(Counties_by_State_Code[[#This Row],[State_Code]],Territory_by_Code[],2)</f>
        <v>Virginia</v>
      </c>
      <c r="C2973" t="s">
        <v>1135</v>
      </c>
      <c r="D2973">
        <v>10919</v>
      </c>
      <c r="E2973">
        <v>133</v>
      </c>
    </row>
    <row r="2974" spans="1:5" x14ac:dyDescent="0.25">
      <c r="A2974" t="s">
        <v>1834</v>
      </c>
      <c r="B2974" t="str">
        <f>VLOOKUP(Counties_by_State_Code[[#This Row],[State_Code]],Territory_by_Code[],2)</f>
        <v>Virginia</v>
      </c>
      <c r="C2974" t="s">
        <v>41</v>
      </c>
      <c r="D2974">
        <v>22173</v>
      </c>
      <c r="E2974">
        <v>437</v>
      </c>
    </row>
    <row r="2975" spans="1:5" x14ac:dyDescent="0.25">
      <c r="A2975" t="s">
        <v>1834</v>
      </c>
      <c r="B2975" t="str">
        <f>VLOOKUP(Counties_by_State_Code[[#This Row],[State_Code]],Territory_by_Code[],2)</f>
        <v>Virginia</v>
      </c>
      <c r="C2975" t="s">
        <v>1860</v>
      </c>
      <c r="D2975">
        <v>420959</v>
      </c>
      <c r="E2975">
        <v>520</v>
      </c>
    </row>
    <row r="2976" spans="1:5" x14ac:dyDescent="0.25">
      <c r="A2976" t="s">
        <v>1834</v>
      </c>
      <c r="B2976" t="str">
        <f>VLOOKUP(Counties_by_State_Code[[#This Row],[State_Code]],Territory_by_Code[],2)</f>
        <v>Virginia</v>
      </c>
      <c r="C2976" t="s">
        <v>637</v>
      </c>
      <c r="D2976">
        <v>37596</v>
      </c>
      <c r="E2976">
        <v>498</v>
      </c>
    </row>
    <row r="2977" spans="1:5" x14ac:dyDescent="0.25">
      <c r="A2977" t="s">
        <v>1834</v>
      </c>
      <c r="B2977" t="str">
        <f>VLOOKUP(Counties_by_State_Code[[#This Row],[State_Code]],Territory_by_Code[],2)</f>
        <v>Virginia</v>
      </c>
      <c r="C2977" t="s">
        <v>1861</v>
      </c>
      <c r="D2977">
        <v>11936</v>
      </c>
      <c r="E2977">
        <v>432</v>
      </c>
    </row>
    <row r="2978" spans="1:5" x14ac:dyDescent="0.25">
      <c r="A2978" t="s">
        <v>1834</v>
      </c>
      <c r="B2978" t="str">
        <f>VLOOKUP(Counties_by_State_Code[[#This Row],[State_Code]],Territory_by_Code[],2)</f>
        <v>Virginia</v>
      </c>
      <c r="C2978" t="s">
        <v>45</v>
      </c>
      <c r="D2978">
        <v>13837</v>
      </c>
      <c r="E2978">
        <v>322</v>
      </c>
    </row>
    <row r="2979" spans="1:5" x14ac:dyDescent="0.25">
      <c r="A2979" t="s">
        <v>1834</v>
      </c>
      <c r="B2979" t="str">
        <f>VLOOKUP(Counties_by_State_Code[[#This Row],[State_Code]],Territory_by_Code[],2)</f>
        <v>Virginia</v>
      </c>
      <c r="C2979" t="s">
        <v>1862</v>
      </c>
      <c r="D2979">
        <v>8533</v>
      </c>
      <c r="E2979">
        <v>86</v>
      </c>
    </row>
    <row r="2980" spans="1:5" x14ac:dyDescent="0.25">
      <c r="A2980" t="s">
        <v>1834</v>
      </c>
      <c r="B2980" t="str">
        <f>VLOOKUP(Counties_by_State_Code[[#This Row],[State_Code]],Territory_by_Code[],2)</f>
        <v>Virginia</v>
      </c>
      <c r="C2980" t="s">
        <v>1277</v>
      </c>
      <c r="D2980">
        <v>30319</v>
      </c>
      <c r="E2980">
        <v>624</v>
      </c>
    </row>
    <row r="2981" spans="1:5" x14ac:dyDescent="0.25">
      <c r="A2981" t="s">
        <v>1834</v>
      </c>
      <c r="B2981" t="str">
        <f>VLOOKUP(Counties_by_State_Code[[#This Row],[State_Code]],Territory_by_Code[],2)</f>
        <v>Virginia</v>
      </c>
      <c r="C2981" t="s">
        <v>299</v>
      </c>
      <c r="D2981">
        <v>10625</v>
      </c>
      <c r="E2981">
        <v>130</v>
      </c>
    </row>
    <row r="2982" spans="1:5" x14ac:dyDescent="0.25">
      <c r="A2982" t="s">
        <v>1834</v>
      </c>
      <c r="B2982" t="str">
        <f>VLOOKUP(Counties_by_State_Code[[#This Row],[State_Code]],Territory_by_Code[],2)</f>
        <v>Virginia</v>
      </c>
      <c r="C2982" t="s">
        <v>51</v>
      </c>
      <c r="D2982">
        <v>99721</v>
      </c>
      <c r="E2982">
        <v>388</v>
      </c>
    </row>
    <row r="2983" spans="1:5" x14ac:dyDescent="0.25">
      <c r="A2983" t="s">
        <v>1834</v>
      </c>
      <c r="B2983" t="str">
        <f>VLOOKUP(Counties_by_State_Code[[#This Row],[State_Code]],Territory_by_Code[],2)</f>
        <v>Virginia</v>
      </c>
      <c r="C2983" t="s">
        <v>770</v>
      </c>
      <c r="D2983">
        <v>14775</v>
      </c>
      <c r="E2983">
        <v>472</v>
      </c>
    </row>
    <row r="2984" spans="1:5" x14ac:dyDescent="0.25">
      <c r="A2984" t="s">
        <v>1834</v>
      </c>
      <c r="B2984" t="str">
        <f>VLOOKUP(Counties_by_State_Code[[#This Row],[State_Code]],Territory_by_Code[],2)</f>
        <v>Virginia</v>
      </c>
      <c r="C2984" t="s">
        <v>1863</v>
      </c>
      <c r="D2984">
        <v>22945</v>
      </c>
      <c r="E2984">
        <v>210</v>
      </c>
    </row>
    <row r="2985" spans="1:5" x14ac:dyDescent="0.25">
      <c r="A2985" t="s">
        <v>1834</v>
      </c>
      <c r="B2985" t="str">
        <f>VLOOKUP(Counties_by_State_Code[[#This Row],[State_Code]],Territory_by_Code[],2)</f>
        <v>Virginia</v>
      </c>
      <c r="C2985" t="s">
        <v>1281</v>
      </c>
      <c r="D2985">
        <v>12282</v>
      </c>
      <c r="E2985">
        <v>207</v>
      </c>
    </row>
    <row r="2986" spans="1:5" x14ac:dyDescent="0.25">
      <c r="A2986" t="s">
        <v>1834</v>
      </c>
      <c r="B2986" t="str">
        <f>VLOOKUP(Counties_by_State_Code[[#This Row],[State_Code]],Territory_by_Code[],2)</f>
        <v>Virginia</v>
      </c>
      <c r="C2986" t="s">
        <v>1460</v>
      </c>
      <c r="D2986">
        <v>11839</v>
      </c>
      <c r="E2986">
        <v>192</v>
      </c>
    </row>
    <row r="2987" spans="1:5" x14ac:dyDescent="0.25">
      <c r="A2987" t="s">
        <v>1834</v>
      </c>
      <c r="B2987" t="str">
        <f>VLOOKUP(Counties_by_State_Code[[#This Row],[State_Code]],Territory_by_Code[],2)</f>
        <v>Virginia</v>
      </c>
      <c r="C2987" t="s">
        <v>1864</v>
      </c>
      <c r="D2987">
        <v>15642</v>
      </c>
      <c r="E2987">
        <v>315</v>
      </c>
    </row>
    <row r="2988" spans="1:5" x14ac:dyDescent="0.25">
      <c r="A2988" t="s">
        <v>1834</v>
      </c>
      <c r="B2988" t="str">
        <f>VLOOKUP(Counties_by_State_Code[[#This Row],[State_Code]],Territory_by_Code[],2)</f>
        <v>Virginia</v>
      </c>
      <c r="C2988" t="s">
        <v>208</v>
      </c>
      <c r="D2988">
        <v>36254</v>
      </c>
      <c r="E2988">
        <v>342</v>
      </c>
    </row>
    <row r="2989" spans="1:5" x14ac:dyDescent="0.25">
      <c r="A2989" t="s">
        <v>1834</v>
      </c>
      <c r="B2989" t="str">
        <f>VLOOKUP(Counties_by_State_Code[[#This Row],[State_Code]],Territory_by_Code[],2)</f>
        <v>Virginia</v>
      </c>
      <c r="C2989" t="s">
        <v>645</v>
      </c>
      <c r="D2989">
        <v>23709</v>
      </c>
      <c r="E2989">
        <v>311</v>
      </c>
    </row>
    <row r="2990" spans="1:5" x14ac:dyDescent="0.25">
      <c r="A2990" t="s">
        <v>1834</v>
      </c>
      <c r="B2990" t="str">
        <f>VLOOKUP(Counties_by_State_Code[[#This Row],[State_Code]],Territory_by_Code[],2)</f>
        <v>Virginia</v>
      </c>
      <c r="C2990" t="s">
        <v>1865</v>
      </c>
      <c r="D2990">
        <v>17608</v>
      </c>
      <c r="E2990">
        <v>483</v>
      </c>
    </row>
    <row r="2991" spans="1:5" x14ac:dyDescent="0.25">
      <c r="A2991" t="s">
        <v>1834</v>
      </c>
      <c r="B2991" t="str">
        <f>VLOOKUP(Counties_by_State_Code[[#This Row],[State_Code]],Territory_by_Code[],2)</f>
        <v>Virginia</v>
      </c>
      <c r="C2991" t="s">
        <v>1866</v>
      </c>
      <c r="D2991">
        <v>60501</v>
      </c>
      <c r="E2991">
        <v>978</v>
      </c>
    </row>
    <row r="2992" spans="1:5" x14ac:dyDescent="0.25">
      <c r="A2992" t="s">
        <v>1834</v>
      </c>
      <c r="B2992" t="str">
        <f>VLOOKUP(Counties_by_State_Code[[#This Row],[State_Code]],Territory_by_Code[],2)</f>
        <v>Virginia</v>
      </c>
      <c r="C2992" t="s">
        <v>1867</v>
      </c>
      <c r="D2992">
        <v>30333</v>
      </c>
      <c r="E2992">
        <v>261</v>
      </c>
    </row>
    <row r="2993" spans="1:5" x14ac:dyDescent="0.25">
      <c r="A2993" t="s">
        <v>1834</v>
      </c>
      <c r="B2993" t="str">
        <f>VLOOKUP(Counties_by_State_Code[[#This Row],[State_Code]],Territory_by_Code[],2)</f>
        <v>Virginia</v>
      </c>
      <c r="C2993" t="s">
        <v>1868</v>
      </c>
      <c r="D2993">
        <v>21849</v>
      </c>
      <c r="E2993">
        <v>353</v>
      </c>
    </row>
    <row r="2994" spans="1:5" x14ac:dyDescent="0.25">
      <c r="A2994" t="s">
        <v>1834</v>
      </c>
      <c r="B2994" t="str">
        <f>VLOOKUP(Counties_by_State_Code[[#This Row],[State_Code]],Territory_by_Code[],2)</f>
        <v>Virginia</v>
      </c>
      <c r="C2994" t="s">
        <v>1869</v>
      </c>
      <c r="D2994">
        <v>43010</v>
      </c>
      <c r="E2994">
        <v>266</v>
      </c>
    </row>
    <row r="2995" spans="1:5" x14ac:dyDescent="0.25">
      <c r="A2995" t="s">
        <v>1834</v>
      </c>
      <c r="B2995" t="str">
        <f>VLOOKUP(Counties_by_State_Code[[#This Row],[State_Code]],Territory_by_Code[],2)</f>
        <v>Virginia</v>
      </c>
      <c r="C2995" t="s">
        <v>1870</v>
      </c>
      <c r="D2995">
        <v>482204</v>
      </c>
      <c r="E2995">
        <v>338</v>
      </c>
    </row>
    <row r="2996" spans="1:5" x14ac:dyDescent="0.25">
      <c r="A2996" t="s">
        <v>1834</v>
      </c>
      <c r="B2996" t="str">
        <f>VLOOKUP(Counties_by_State_Code[[#This Row],[State_Code]],Territory_by_Code[],2)</f>
        <v>Virginia</v>
      </c>
      <c r="C2996" t="s">
        <v>165</v>
      </c>
      <c r="D2996">
        <v>33800</v>
      </c>
      <c r="E2996">
        <v>321</v>
      </c>
    </row>
    <row r="2997" spans="1:5" x14ac:dyDescent="0.25">
      <c r="A2997" t="s">
        <v>1834</v>
      </c>
      <c r="B2997" t="str">
        <f>VLOOKUP(Counties_by_State_Code[[#This Row],[State_Code]],Territory_by_Code[],2)</f>
        <v>Virginia</v>
      </c>
      <c r="C2997" t="s">
        <v>1871</v>
      </c>
      <c r="D2997">
        <v>7348</v>
      </c>
      <c r="E2997">
        <v>267</v>
      </c>
    </row>
    <row r="2998" spans="1:5" x14ac:dyDescent="0.25">
      <c r="A2998" t="s">
        <v>1834</v>
      </c>
      <c r="B2998" t="str">
        <f>VLOOKUP(Counties_by_State_Code[[#This Row],[State_Code]],Territory_by_Code[],2)</f>
        <v>Virginia</v>
      </c>
      <c r="C2998" t="s">
        <v>445</v>
      </c>
      <c r="D2998">
        <v>8923</v>
      </c>
      <c r="E2998">
        <v>192</v>
      </c>
    </row>
    <row r="2999" spans="1:5" x14ac:dyDescent="0.25">
      <c r="A2999" t="s">
        <v>1834</v>
      </c>
      <c r="B2999" t="str">
        <f>VLOOKUP(Counties_by_State_Code[[#This Row],[State_Code]],Territory_by_Code[],2)</f>
        <v>Virginia</v>
      </c>
      <c r="C2999" t="s">
        <v>1872</v>
      </c>
      <c r="D2999">
        <v>96929</v>
      </c>
      <c r="E2999">
        <v>251</v>
      </c>
    </row>
    <row r="3000" spans="1:5" x14ac:dyDescent="0.25">
      <c r="A3000" t="s">
        <v>1834</v>
      </c>
      <c r="B3000" t="str">
        <f>VLOOKUP(Counties_by_State_Code[[#This Row],[State_Code]],Territory_by_Code[],2)</f>
        <v>Virginia</v>
      </c>
      <c r="C3000" t="s">
        <v>1873</v>
      </c>
      <c r="D3000">
        <v>22650</v>
      </c>
      <c r="E3000">
        <v>600</v>
      </c>
    </row>
    <row r="3001" spans="1:5" x14ac:dyDescent="0.25">
      <c r="A3001" t="s">
        <v>1834</v>
      </c>
      <c r="B3001" t="str">
        <f>VLOOKUP(Counties_by_State_Code[[#This Row],[State_Code]],Territory_by_Code[],2)</f>
        <v>Virginia</v>
      </c>
      <c r="C3001" t="s">
        <v>1168</v>
      </c>
      <c r="D3001">
        <v>83757</v>
      </c>
      <c r="E3001">
        <v>851</v>
      </c>
    </row>
    <row r="3002" spans="1:5" x14ac:dyDescent="0.25">
      <c r="A3002" t="s">
        <v>1834</v>
      </c>
      <c r="B3002" t="str">
        <f>VLOOKUP(Counties_by_State_Code[[#This Row],[State_Code]],Territory_by_Code[],2)</f>
        <v>Virginia</v>
      </c>
      <c r="C3002" t="s">
        <v>57</v>
      </c>
      <c r="D3002">
        <v>25781</v>
      </c>
      <c r="E3002">
        <v>475</v>
      </c>
    </row>
    <row r="3003" spans="1:5" x14ac:dyDescent="0.25">
      <c r="A3003" t="s">
        <v>1834</v>
      </c>
      <c r="B3003" t="str">
        <f>VLOOKUP(Counties_by_State_Code[[#This Row],[State_Code]],Territory_by_Code[],2)</f>
        <v>Virginia</v>
      </c>
      <c r="C3003" t="s">
        <v>168</v>
      </c>
      <c r="D3003">
        <v>21576</v>
      </c>
      <c r="E3003">
        <v>537</v>
      </c>
    </row>
    <row r="3004" spans="1:5" x14ac:dyDescent="0.25">
      <c r="A3004" t="s">
        <v>1834</v>
      </c>
      <c r="B3004" t="str">
        <f>VLOOKUP(Counties_by_State_Code[[#This Row],[State_Code]],Territory_by_Code[],2)</f>
        <v>Virginia</v>
      </c>
      <c r="C3004" t="s">
        <v>1874</v>
      </c>
      <c r="D3004">
        <v>44186</v>
      </c>
      <c r="E3004">
        <v>512</v>
      </c>
    </row>
    <row r="3005" spans="1:5" x14ac:dyDescent="0.25">
      <c r="A3005" t="s">
        <v>1834</v>
      </c>
      <c r="B3005" t="str">
        <f>VLOOKUP(Counties_by_State_Code[[#This Row],[State_Code]],Territory_by_Code[],2)</f>
        <v>Virginia</v>
      </c>
      <c r="C3005" t="s">
        <v>1875</v>
      </c>
      <c r="D3005">
        <v>29800</v>
      </c>
      <c r="E3005">
        <v>452</v>
      </c>
    </row>
    <row r="3006" spans="1:5" x14ac:dyDescent="0.25">
      <c r="A3006" t="s">
        <v>1834</v>
      </c>
      <c r="B3006" t="str">
        <f>VLOOKUP(Counties_by_State_Code[[#This Row],[State_Code]],Territory_by_Code[],2)</f>
        <v>Virginia</v>
      </c>
      <c r="C3006" t="s">
        <v>1876</v>
      </c>
      <c r="D3006">
        <v>17996</v>
      </c>
      <c r="E3006">
        <v>600</v>
      </c>
    </row>
    <row r="3007" spans="1:5" x14ac:dyDescent="0.25">
      <c r="A3007" t="s">
        <v>1834</v>
      </c>
      <c r="B3007" t="str">
        <f>VLOOKUP(Counties_by_State_Code[[#This Row],[State_Code]],Territory_by_Code[],2)</f>
        <v>Virginia</v>
      </c>
      <c r="C3007" t="s">
        <v>1877</v>
      </c>
      <c r="D3007">
        <v>140032</v>
      </c>
      <c r="E3007">
        <v>401</v>
      </c>
    </row>
    <row r="3008" spans="1:5" x14ac:dyDescent="0.25">
      <c r="A3008" t="s">
        <v>1834</v>
      </c>
      <c r="B3008" t="str">
        <f>VLOOKUP(Counties_by_State_Code[[#This Row],[State_Code]],Territory_by_Code[],2)</f>
        <v>Virginia</v>
      </c>
      <c r="C3008" t="s">
        <v>717</v>
      </c>
      <c r="D3008">
        <v>156927</v>
      </c>
      <c r="E3008">
        <v>270</v>
      </c>
    </row>
    <row r="3009" spans="1:5" x14ac:dyDescent="0.25">
      <c r="A3009" t="s">
        <v>1834</v>
      </c>
      <c r="B3009" t="str">
        <f>VLOOKUP(Counties_by_State_Code[[#This Row],[State_Code]],Territory_by_Code[],2)</f>
        <v>Virginia</v>
      </c>
      <c r="C3009" t="s">
        <v>1294</v>
      </c>
      <c r="D3009">
        <v>6561</v>
      </c>
      <c r="E3009">
        <v>279</v>
      </c>
    </row>
    <row r="3010" spans="1:5" x14ac:dyDescent="0.25">
      <c r="A3010" t="s">
        <v>1834</v>
      </c>
      <c r="B3010" t="str">
        <f>VLOOKUP(Counties_by_State_Code[[#This Row],[State_Code]],Territory_by_Code[],2)</f>
        <v>Virginia</v>
      </c>
      <c r="C3010" t="s">
        <v>313</v>
      </c>
      <c r="D3010">
        <v>10829</v>
      </c>
      <c r="E3010">
        <v>491</v>
      </c>
    </row>
    <row r="3011" spans="1:5" x14ac:dyDescent="0.25">
      <c r="A3011" t="s">
        <v>1834</v>
      </c>
      <c r="B3011" t="str">
        <f>VLOOKUP(Counties_by_State_Code[[#This Row],[State_Code]],Territory_by_Code[],2)</f>
        <v>Virginia</v>
      </c>
      <c r="C3011" t="s">
        <v>564</v>
      </c>
      <c r="D3011">
        <v>40429</v>
      </c>
      <c r="E3011">
        <v>520</v>
      </c>
    </row>
    <row r="3012" spans="1:5" x14ac:dyDescent="0.25">
      <c r="A3012" t="s">
        <v>1834</v>
      </c>
      <c r="B3012" t="str">
        <f>VLOOKUP(Counties_by_State_Code[[#This Row],[State_Code]],Territory_by_Code[],2)</f>
        <v>Virginia</v>
      </c>
      <c r="C3012" t="s">
        <v>467</v>
      </c>
      <c r="D3012">
        <v>40727</v>
      </c>
      <c r="E3012">
        <v>214</v>
      </c>
    </row>
    <row r="3013" spans="1:5" x14ac:dyDescent="0.25">
      <c r="A3013" t="s">
        <v>1834</v>
      </c>
      <c r="B3013" t="str">
        <f>VLOOKUP(Counties_by_State_Code[[#This Row],[State_Code]],Territory_by_Code[],2)</f>
        <v>Virginia</v>
      </c>
      <c r="C3013" t="s">
        <v>65</v>
      </c>
      <c r="D3013">
        <v>53935</v>
      </c>
      <c r="E3013">
        <v>564</v>
      </c>
    </row>
    <row r="3014" spans="1:5" x14ac:dyDescent="0.25">
      <c r="A3014" t="s">
        <v>1834</v>
      </c>
      <c r="B3014" t="str">
        <f>VLOOKUP(Counties_by_State_Code[[#This Row],[State_Code]],Territory_by_Code[],2)</f>
        <v>Virginia</v>
      </c>
      <c r="C3014" t="s">
        <v>1467</v>
      </c>
      <c r="D3014">
        <v>18477</v>
      </c>
      <c r="E3014">
        <v>229</v>
      </c>
    </row>
    <row r="3015" spans="1:5" x14ac:dyDescent="0.25">
      <c r="A3015" t="s">
        <v>1834</v>
      </c>
      <c r="B3015" t="str">
        <f>VLOOKUP(Counties_by_State_Code[[#This Row],[State_Code]],Territory_by_Code[],2)</f>
        <v>Virginia</v>
      </c>
      <c r="C3015" t="s">
        <v>1798</v>
      </c>
      <c r="D3015">
        <v>36130</v>
      </c>
      <c r="E3015">
        <v>403</v>
      </c>
    </row>
    <row r="3016" spans="1:5" x14ac:dyDescent="0.25">
      <c r="A3016" t="s">
        <v>1834</v>
      </c>
      <c r="B3016" t="str">
        <f>VLOOKUP(Counties_by_State_Code[[#This Row],[State_Code]],Territory_by_Code[],2)</f>
        <v>Virginia</v>
      </c>
      <c r="C3016" t="s">
        <v>1878</v>
      </c>
      <c r="D3016">
        <v>28290</v>
      </c>
      <c r="E3016">
        <v>463</v>
      </c>
    </row>
    <row r="3017" spans="1:5" x14ac:dyDescent="0.25">
      <c r="A3017" t="s">
        <v>1834</v>
      </c>
      <c r="B3017" t="str">
        <f>VLOOKUP(Counties_by_State_Code[[#This Row],[State_Code]],Territory_by_Code[],2)</f>
        <v>Virginia</v>
      </c>
      <c r="C3017" t="s">
        <v>842</v>
      </c>
      <c r="D3017">
        <v>70045</v>
      </c>
      <c r="E3017">
        <v>106</v>
      </c>
    </row>
    <row r="3018" spans="1:5" x14ac:dyDescent="0.25">
      <c r="A3018" t="s">
        <v>1834</v>
      </c>
      <c r="B3018" t="str">
        <f>VLOOKUP(Counties_by_State_Code[[#This Row],[State_Code]],Territory_by_Code[],2)</f>
        <v>Virginia</v>
      </c>
      <c r="C3018" t="s">
        <v>1879</v>
      </c>
      <c r="D3018">
        <v>159467</v>
      </c>
      <c r="E3018">
        <v>15</v>
      </c>
    </row>
    <row r="3019" spans="1:5" x14ac:dyDescent="0.25">
      <c r="A3019" t="s">
        <v>1834</v>
      </c>
      <c r="B3019" t="str">
        <f>VLOOKUP(Counties_by_State_Code[[#This Row],[State_Code]],Territory_by_Code[],2)</f>
        <v>Virginia</v>
      </c>
      <c r="C3019" t="s">
        <v>1880</v>
      </c>
      <c r="D3019">
        <v>17219</v>
      </c>
      <c r="E3019">
        <v>12</v>
      </c>
    </row>
    <row r="3020" spans="1:5" x14ac:dyDescent="0.25">
      <c r="A3020" t="s">
        <v>1834</v>
      </c>
      <c r="B3020" t="str">
        <f>VLOOKUP(Counties_by_State_Code[[#This Row],[State_Code]],Territory_by_Code[],2)</f>
        <v>Virginia</v>
      </c>
      <c r="C3020" t="s">
        <v>1881</v>
      </c>
      <c r="D3020">
        <v>6641</v>
      </c>
      <c r="E3020">
        <v>7</v>
      </c>
    </row>
    <row r="3021" spans="1:5" x14ac:dyDescent="0.25">
      <c r="A3021" t="s">
        <v>1834</v>
      </c>
      <c r="B3021" t="str">
        <f>VLOOKUP(Counties_by_State_Code[[#This Row],[State_Code]],Territory_by_Code[],2)</f>
        <v>Virginia</v>
      </c>
      <c r="C3021" t="s">
        <v>1882</v>
      </c>
      <c r="D3021">
        <v>46553</v>
      </c>
      <c r="E3021">
        <v>10</v>
      </c>
    </row>
    <row r="3022" spans="1:5" x14ac:dyDescent="0.25">
      <c r="A3022" t="s">
        <v>1834</v>
      </c>
      <c r="B3022" t="str">
        <f>VLOOKUP(Counties_by_State_Code[[#This Row],[State_Code]],Territory_by_Code[],2)</f>
        <v>Virginia</v>
      </c>
      <c r="C3022" t="s">
        <v>1883</v>
      </c>
      <c r="D3022">
        <v>249422</v>
      </c>
      <c r="E3022">
        <v>341</v>
      </c>
    </row>
    <row r="3023" spans="1:5" x14ac:dyDescent="0.25">
      <c r="A3023" t="s">
        <v>1834</v>
      </c>
      <c r="B3023" t="str">
        <f>VLOOKUP(Counties_by_State_Code[[#This Row],[State_Code]],Territory_by_Code[],2)</f>
        <v>Virginia</v>
      </c>
      <c r="C3023" t="s">
        <v>1884</v>
      </c>
      <c r="D3023">
        <v>18170</v>
      </c>
      <c r="E3023">
        <v>8</v>
      </c>
    </row>
    <row r="3024" spans="1:5" x14ac:dyDescent="0.25">
      <c r="A3024" t="s">
        <v>1834</v>
      </c>
      <c r="B3024" t="str">
        <f>VLOOKUP(Counties_by_State_Code[[#This Row],[State_Code]],Territory_by_Code[],2)</f>
        <v>Virginia</v>
      </c>
      <c r="C3024" t="s">
        <v>1885</v>
      </c>
      <c r="D3024">
        <v>5737</v>
      </c>
      <c r="E3024">
        <v>4</v>
      </c>
    </row>
    <row r="3025" spans="1:5" x14ac:dyDescent="0.25">
      <c r="A3025" t="s">
        <v>1834</v>
      </c>
      <c r="B3025" t="str">
        <f>VLOOKUP(Counties_by_State_Code[[#This Row],[State_Code]],Territory_by_Code[],2)</f>
        <v>Virginia</v>
      </c>
      <c r="C3025" t="s">
        <v>1886</v>
      </c>
      <c r="D3025">
        <v>42590</v>
      </c>
      <c r="E3025">
        <v>43</v>
      </c>
    </row>
    <row r="3026" spans="1:5" x14ac:dyDescent="0.25">
      <c r="A3026" t="s">
        <v>1834</v>
      </c>
      <c r="B3026" t="str">
        <f>VLOOKUP(Counties_by_State_Code[[#This Row],[State_Code]],Territory_by_Code[],2)</f>
        <v>Virginia</v>
      </c>
      <c r="C3026" t="s">
        <v>1887</v>
      </c>
      <c r="D3026">
        <v>5766</v>
      </c>
      <c r="E3026">
        <v>7</v>
      </c>
    </row>
    <row r="3027" spans="1:5" x14ac:dyDescent="0.25">
      <c r="A3027" t="s">
        <v>1834</v>
      </c>
      <c r="B3027" t="str">
        <f>VLOOKUP(Counties_by_State_Code[[#This Row],[State_Code]],Territory_by_Code[],2)</f>
        <v>Virginia</v>
      </c>
      <c r="C3027" t="s">
        <v>1888</v>
      </c>
      <c r="D3027">
        <v>24146</v>
      </c>
      <c r="E3027">
        <v>6</v>
      </c>
    </row>
    <row r="3028" spans="1:5" x14ac:dyDescent="0.25">
      <c r="A3028" t="s">
        <v>1834</v>
      </c>
      <c r="B3028" t="str">
        <f>VLOOKUP(Counties_by_State_Code[[#This Row],[State_Code]],Territory_by_Code[],2)</f>
        <v>Virginia</v>
      </c>
      <c r="C3028" t="s">
        <v>1889</v>
      </c>
      <c r="D3028">
        <v>14658</v>
      </c>
      <c r="E3028">
        <v>2.1</v>
      </c>
    </row>
    <row r="3029" spans="1:5" x14ac:dyDescent="0.25">
      <c r="A3029" t="s">
        <v>1834</v>
      </c>
      <c r="B3029" t="str">
        <f>VLOOKUP(Counties_by_State_Code[[#This Row],[State_Code]],Territory_by_Code[],2)</f>
        <v>Virginia</v>
      </c>
      <c r="C3029" t="s">
        <v>1890</v>
      </c>
      <c r="D3029">
        <v>8180</v>
      </c>
      <c r="E3029">
        <v>8</v>
      </c>
    </row>
    <row r="3030" spans="1:5" x14ac:dyDescent="0.25">
      <c r="A3030" t="s">
        <v>1834</v>
      </c>
      <c r="B3030" t="str">
        <f>VLOOKUP(Counties_by_State_Code[[#This Row],[State_Code]],Territory_by_Code[],2)</f>
        <v>Virginia</v>
      </c>
      <c r="C3030" t="s">
        <v>1891</v>
      </c>
      <c r="D3030">
        <v>27982</v>
      </c>
      <c r="E3030">
        <v>10</v>
      </c>
    </row>
    <row r="3031" spans="1:5" x14ac:dyDescent="0.25">
      <c r="A3031" t="s">
        <v>1834</v>
      </c>
      <c r="B3031" t="str">
        <f>VLOOKUP(Counties_by_State_Code[[#This Row],[State_Code]],Territory_by_Code[],2)</f>
        <v>Virginia</v>
      </c>
      <c r="C3031" t="s">
        <v>1892</v>
      </c>
      <c r="D3031">
        <v>6720</v>
      </c>
      <c r="E3031">
        <v>8</v>
      </c>
    </row>
    <row r="3032" spans="1:5" x14ac:dyDescent="0.25">
      <c r="A3032" t="s">
        <v>1834</v>
      </c>
      <c r="B3032" t="str">
        <f>VLOOKUP(Counties_by_State_Code[[#This Row],[State_Code]],Territory_by_Code[],2)</f>
        <v>Virginia</v>
      </c>
      <c r="C3032" t="s">
        <v>1893</v>
      </c>
      <c r="D3032">
        <v>137148</v>
      </c>
      <c r="E3032">
        <v>52</v>
      </c>
    </row>
    <row r="3033" spans="1:5" x14ac:dyDescent="0.25">
      <c r="A3033" t="s">
        <v>1834</v>
      </c>
      <c r="B3033" t="str">
        <f>VLOOKUP(Counties_by_State_Code[[#This Row],[State_Code]],Territory_by_Code[],2)</f>
        <v>Virginia</v>
      </c>
      <c r="C3033" t="s">
        <v>1894</v>
      </c>
      <c r="D3033">
        <v>51814</v>
      </c>
      <c r="E3033">
        <v>18</v>
      </c>
    </row>
    <row r="3034" spans="1:5" x14ac:dyDescent="0.25">
      <c r="A3034" t="s">
        <v>1834</v>
      </c>
      <c r="B3034" t="str">
        <f>VLOOKUP(Counties_by_State_Code[[#This Row],[State_Code]],Territory_by_Code[],2)</f>
        <v>Virginia</v>
      </c>
      <c r="C3034" t="s">
        <v>1895</v>
      </c>
      <c r="D3034">
        <v>23033</v>
      </c>
      <c r="E3034">
        <v>10</v>
      </c>
    </row>
    <row r="3035" spans="1:5" x14ac:dyDescent="0.25">
      <c r="A3035" t="s">
        <v>1834</v>
      </c>
      <c r="B3035" t="str">
        <f>VLOOKUP(Counties_by_State_Code[[#This Row],[State_Code]],Territory_by_Code[],2)</f>
        <v>Virginia</v>
      </c>
      <c r="C3035" t="s">
        <v>1896</v>
      </c>
      <c r="D3035">
        <v>7320</v>
      </c>
      <c r="E3035">
        <v>2.5</v>
      </c>
    </row>
    <row r="3036" spans="1:5" x14ac:dyDescent="0.25">
      <c r="A3036" t="s">
        <v>1834</v>
      </c>
      <c r="B3036" t="str">
        <f>VLOOKUP(Counties_by_State_Code[[#This Row],[State_Code]],Territory_by_Code[],2)</f>
        <v>Virginia</v>
      </c>
      <c r="C3036" t="s">
        <v>1897</v>
      </c>
      <c r="D3036">
        <v>79009</v>
      </c>
      <c r="E3036">
        <v>49</v>
      </c>
    </row>
    <row r="3037" spans="1:5" x14ac:dyDescent="0.25">
      <c r="A3037" t="s">
        <v>1834</v>
      </c>
      <c r="B3037" t="str">
        <f>VLOOKUP(Counties_by_State_Code[[#This Row],[State_Code]],Territory_by_Code[],2)</f>
        <v>Virginia</v>
      </c>
      <c r="C3037" t="s">
        <v>1898</v>
      </c>
      <c r="D3037">
        <v>42772</v>
      </c>
      <c r="E3037">
        <v>10</v>
      </c>
    </row>
    <row r="3038" spans="1:5" x14ac:dyDescent="0.25">
      <c r="A3038" t="s">
        <v>1834</v>
      </c>
      <c r="B3038" t="str">
        <f>VLOOKUP(Counties_by_State_Code[[#This Row],[State_Code]],Territory_by_Code[],2)</f>
        <v>Virginia</v>
      </c>
      <c r="C3038" t="s">
        <v>1899</v>
      </c>
      <c r="D3038">
        <v>17219</v>
      </c>
      <c r="E3038">
        <v>2.5</v>
      </c>
    </row>
    <row r="3039" spans="1:5" x14ac:dyDescent="0.25">
      <c r="A3039" t="s">
        <v>1834</v>
      </c>
      <c r="B3039" t="str">
        <f>VLOOKUP(Counties_by_State_Code[[#This Row],[State_Code]],Territory_by_Code[],2)</f>
        <v>Virginia</v>
      </c>
      <c r="C3039" t="s">
        <v>1900</v>
      </c>
      <c r="D3039">
        <v>13485</v>
      </c>
      <c r="E3039">
        <v>11</v>
      </c>
    </row>
    <row r="3040" spans="1:5" x14ac:dyDescent="0.25">
      <c r="A3040" t="s">
        <v>1834</v>
      </c>
      <c r="B3040" t="str">
        <f>VLOOKUP(Counties_by_State_Code[[#This Row],[State_Code]],Territory_by_Code[],2)</f>
        <v>Virginia</v>
      </c>
      <c r="C3040" t="s">
        <v>1901</v>
      </c>
      <c r="D3040">
        <v>186247</v>
      </c>
      <c r="E3040">
        <v>68</v>
      </c>
    </row>
    <row r="3041" spans="1:5" x14ac:dyDescent="0.25">
      <c r="A3041" t="s">
        <v>1834</v>
      </c>
      <c r="B3041" t="str">
        <f>VLOOKUP(Counties_by_State_Code[[#This Row],[State_Code]],Territory_by_Code[],2)</f>
        <v>Virginia</v>
      </c>
      <c r="C3041" t="s">
        <v>1902</v>
      </c>
      <c r="D3041">
        <v>238005</v>
      </c>
      <c r="E3041">
        <v>54</v>
      </c>
    </row>
    <row r="3042" spans="1:5" x14ac:dyDescent="0.25">
      <c r="A3042" t="s">
        <v>1834</v>
      </c>
      <c r="B3042" t="str">
        <f>VLOOKUP(Counties_by_State_Code[[#This Row],[State_Code]],Territory_by_Code[],2)</f>
        <v>Virginia</v>
      </c>
      <c r="C3042" t="s">
        <v>1903</v>
      </c>
      <c r="D3042">
        <v>3687</v>
      </c>
      <c r="E3042">
        <v>7</v>
      </c>
    </row>
    <row r="3043" spans="1:5" x14ac:dyDescent="0.25">
      <c r="A3043" t="s">
        <v>1834</v>
      </c>
      <c r="B3043" t="str">
        <f>VLOOKUP(Counties_by_State_Code[[#This Row],[State_Code]],Territory_by_Code[],2)</f>
        <v>Virginia</v>
      </c>
      <c r="C3043" t="s">
        <v>1904</v>
      </c>
      <c r="D3043">
        <v>33458</v>
      </c>
      <c r="E3043">
        <v>23</v>
      </c>
    </row>
    <row r="3044" spans="1:5" x14ac:dyDescent="0.25">
      <c r="A3044" t="s">
        <v>1834</v>
      </c>
      <c r="B3044" t="str">
        <f>VLOOKUP(Counties_by_State_Code[[#This Row],[State_Code]],Territory_by_Code[],2)</f>
        <v>Virginia</v>
      </c>
      <c r="C3044" t="s">
        <v>1905</v>
      </c>
      <c r="D3044">
        <v>12460</v>
      </c>
      <c r="E3044">
        <v>16</v>
      </c>
    </row>
    <row r="3045" spans="1:5" x14ac:dyDescent="0.25">
      <c r="A3045" t="s">
        <v>1834</v>
      </c>
      <c r="B3045" t="str">
        <f>VLOOKUP(Counties_by_State_Code[[#This Row],[State_Code]],Territory_by_Code[],2)</f>
        <v>Virginia</v>
      </c>
      <c r="C3045" t="s">
        <v>1906</v>
      </c>
      <c r="D3045">
        <v>97915</v>
      </c>
      <c r="E3045">
        <v>33</v>
      </c>
    </row>
    <row r="3046" spans="1:5" x14ac:dyDescent="0.25">
      <c r="A3046" t="s">
        <v>1834</v>
      </c>
      <c r="B3046" t="str">
        <f>VLOOKUP(Counties_by_State_Code[[#This Row],[State_Code]],Territory_by_Code[],2)</f>
        <v>Virginia</v>
      </c>
      <c r="C3046" t="s">
        <v>1907</v>
      </c>
      <c r="D3046">
        <v>16070</v>
      </c>
      <c r="E3046">
        <v>10</v>
      </c>
    </row>
    <row r="3047" spans="1:5" x14ac:dyDescent="0.25">
      <c r="A3047" t="s">
        <v>1834</v>
      </c>
      <c r="B3047" t="str">
        <f>VLOOKUP(Counties_by_State_Code[[#This Row],[State_Code]],Territory_by_Code[],2)</f>
        <v>Virginia</v>
      </c>
      <c r="C3047" t="s">
        <v>1908</v>
      </c>
      <c r="D3047">
        <v>226610</v>
      </c>
      <c r="E3047">
        <v>60</v>
      </c>
    </row>
    <row r="3048" spans="1:5" x14ac:dyDescent="0.25">
      <c r="A3048" t="s">
        <v>1834</v>
      </c>
      <c r="B3048" t="str">
        <f>VLOOKUP(Counties_by_State_Code[[#This Row],[State_Code]],Territory_by_Code[],2)</f>
        <v>Virginia</v>
      </c>
      <c r="C3048" t="s">
        <v>1909</v>
      </c>
      <c r="D3048">
        <v>100011</v>
      </c>
      <c r="E3048">
        <v>43</v>
      </c>
    </row>
    <row r="3049" spans="1:5" x14ac:dyDescent="0.25">
      <c r="A3049" t="s">
        <v>1834</v>
      </c>
      <c r="B3049" t="str">
        <f>VLOOKUP(Counties_by_State_Code[[#This Row],[State_Code]],Territory_by_Code[],2)</f>
        <v>Virginia</v>
      </c>
      <c r="C3049" t="s">
        <v>1910</v>
      </c>
      <c r="D3049">
        <v>25346</v>
      </c>
      <c r="E3049">
        <v>15</v>
      </c>
    </row>
    <row r="3050" spans="1:5" x14ac:dyDescent="0.25">
      <c r="A3050" t="s">
        <v>1834</v>
      </c>
      <c r="B3050" t="str">
        <f>VLOOKUP(Counties_by_State_Code[[#This Row],[State_Code]],Territory_by_Code[],2)</f>
        <v>Virginia</v>
      </c>
      <c r="C3050" t="s">
        <v>1911</v>
      </c>
      <c r="D3050">
        <v>25750</v>
      </c>
      <c r="E3050">
        <v>20</v>
      </c>
    </row>
    <row r="3051" spans="1:5" x14ac:dyDescent="0.25">
      <c r="A3051" t="s">
        <v>1834</v>
      </c>
      <c r="B3051" t="str">
        <f>VLOOKUP(Counties_by_State_Code[[#This Row],[State_Code]],Territory_by_Code[],2)</f>
        <v>Virginia</v>
      </c>
      <c r="C3051" t="s">
        <v>1912</v>
      </c>
      <c r="D3051">
        <v>94324</v>
      </c>
      <c r="E3051">
        <v>400</v>
      </c>
    </row>
    <row r="3052" spans="1:5" x14ac:dyDescent="0.25">
      <c r="A3052" t="s">
        <v>1834</v>
      </c>
      <c r="B3052" t="str">
        <f>VLOOKUP(Counties_by_State_Code[[#This Row],[State_Code]],Territory_by_Code[],2)</f>
        <v>Virginia</v>
      </c>
      <c r="C3052" t="s">
        <v>1913</v>
      </c>
      <c r="D3052">
        <v>459470</v>
      </c>
      <c r="E3052">
        <v>248</v>
      </c>
    </row>
    <row r="3053" spans="1:5" x14ac:dyDescent="0.25">
      <c r="A3053" t="s">
        <v>1834</v>
      </c>
      <c r="B3053" t="str">
        <f>VLOOKUP(Counties_by_State_Code[[#This Row],[State_Code]],Territory_by_Code[],2)</f>
        <v>Virginia</v>
      </c>
      <c r="C3053" t="s">
        <v>1914</v>
      </c>
      <c r="D3053">
        <v>22196</v>
      </c>
      <c r="E3053">
        <v>14</v>
      </c>
    </row>
    <row r="3054" spans="1:5" x14ac:dyDescent="0.25">
      <c r="A3054" t="s">
        <v>1834</v>
      </c>
      <c r="B3054" t="str">
        <f>VLOOKUP(Counties_by_State_Code[[#This Row],[State_Code]],Territory_by_Code[],2)</f>
        <v>Virginia</v>
      </c>
      <c r="C3054" t="s">
        <v>1915</v>
      </c>
      <c r="D3054">
        <v>15425</v>
      </c>
      <c r="E3054">
        <v>9</v>
      </c>
    </row>
    <row r="3055" spans="1:5" x14ac:dyDescent="0.25">
      <c r="A3055" t="s">
        <v>1834</v>
      </c>
      <c r="B3055" t="str">
        <f>VLOOKUP(Counties_by_State_Code[[#This Row],[State_Code]],Territory_by_Code[],2)</f>
        <v>Virginia</v>
      </c>
      <c r="C3055" t="s">
        <v>1916</v>
      </c>
      <c r="D3055">
        <v>28120</v>
      </c>
      <c r="E3055">
        <v>9</v>
      </c>
    </row>
    <row r="3056" spans="1:5" x14ac:dyDescent="0.25">
      <c r="A3056" t="s">
        <v>1917</v>
      </c>
      <c r="B3056" t="str">
        <f>VLOOKUP(Counties_by_State_Code[[#This Row],[State_Code]],Territory_by_Code[],2)</f>
        <v>Washington</v>
      </c>
      <c r="C3056" t="s">
        <v>236</v>
      </c>
      <c r="D3056">
        <v>20613</v>
      </c>
      <c r="E3056">
        <v>1925</v>
      </c>
    </row>
    <row r="3057" spans="1:5" x14ac:dyDescent="0.25">
      <c r="A3057" t="s">
        <v>1917</v>
      </c>
      <c r="B3057" t="str">
        <f>VLOOKUP(Counties_by_State_Code[[#This Row],[State_Code]],Territory_by_Code[],2)</f>
        <v>Washington</v>
      </c>
      <c r="C3057" t="s">
        <v>1918</v>
      </c>
      <c r="D3057">
        <v>22285</v>
      </c>
      <c r="E3057">
        <v>636</v>
      </c>
    </row>
    <row r="3058" spans="1:5" x14ac:dyDescent="0.25">
      <c r="A3058" t="s">
        <v>1917</v>
      </c>
      <c r="B3058" t="str">
        <f>VLOOKUP(Counties_by_State_Code[[#This Row],[State_Code]],Territory_by_Code[],2)</f>
        <v>Washington</v>
      </c>
      <c r="C3058" t="s">
        <v>125</v>
      </c>
      <c r="D3058">
        <v>206873</v>
      </c>
      <c r="E3058">
        <v>1700</v>
      </c>
    </row>
    <row r="3059" spans="1:5" x14ac:dyDescent="0.25">
      <c r="A3059" t="s">
        <v>1917</v>
      </c>
      <c r="B3059" t="str">
        <f>VLOOKUP(Counties_by_State_Code[[#This Row],[State_Code]],Territory_by_Code[],2)</f>
        <v>Washington</v>
      </c>
      <c r="C3059" t="s">
        <v>1919</v>
      </c>
      <c r="D3059">
        <v>79074</v>
      </c>
      <c r="E3059">
        <v>2920</v>
      </c>
    </row>
    <row r="3060" spans="1:5" x14ac:dyDescent="0.25">
      <c r="A3060" t="s">
        <v>1917</v>
      </c>
      <c r="B3060" t="str">
        <f>VLOOKUP(Counties_by_State_Code[[#This Row],[State_Code]],Territory_by_Code[],2)</f>
        <v>Washington</v>
      </c>
      <c r="C3060" t="s">
        <v>1920</v>
      </c>
      <c r="D3060">
        <v>77155</v>
      </c>
      <c r="E3060">
        <v>1738</v>
      </c>
    </row>
    <row r="3061" spans="1:5" x14ac:dyDescent="0.25">
      <c r="A3061" t="s">
        <v>1917</v>
      </c>
      <c r="B3061" t="str">
        <f>VLOOKUP(Counties_by_State_Code[[#This Row],[State_Code]],Territory_by_Code[],2)</f>
        <v>Washington</v>
      </c>
      <c r="C3061" t="s">
        <v>130</v>
      </c>
      <c r="D3061">
        <v>503311</v>
      </c>
      <c r="E3061">
        <v>629</v>
      </c>
    </row>
    <row r="3062" spans="1:5" x14ac:dyDescent="0.25">
      <c r="A3062" t="s">
        <v>1917</v>
      </c>
      <c r="B3062" t="str">
        <f>VLOOKUP(Counties_by_State_Code[[#This Row],[State_Code]],Territory_by_Code[],2)</f>
        <v>Washington</v>
      </c>
      <c r="C3062" t="s">
        <v>132</v>
      </c>
      <c r="D3062">
        <v>3952</v>
      </c>
      <c r="E3062">
        <v>869</v>
      </c>
    </row>
    <row r="3063" spans="1:5" x14ac:dyDescent="0.25">
      <c r="A3063" t="s">
        <v>1917</v>
      </c>
      <c r="B3063" t="str">
        <f>VLOOKUP(Counties_by_State_Code[[#This Row],[State_Code]],Territory_by_Code[],2)</f>
        <v>Washington</v>
      </c>
      <c r="C3063" t="s">
        <v>1921</v>
      </c>
      <c r="D3063">
        <v>110730</v>
      </c>
      <c r="E3063">
        <v>1139</v>
      </c>
    </row>
    <row r="3064" spans="1:5" x14ac:dyDescent="0.25">
      <c r="A3064" t="s">
        <v>1917</v>
      </c>
      <c r="B3064" t="str">
        <f>VLOOKUP(Counties_by_State_Code[[#This Row],[State_Code]],Territory_by_Code[],2)</f>
        <v>Washington</v>
      </c>
      <c r="C3064" t="s">
        <v>255</v>
      </c>
      <c r="D3064">
        <v>42938</v>
      </c>
      <c r="E3064">
        <v>1819</v>
      </c>
    </row>
    <row r="3065" spans="1:5" x14ac:dyDescent="0.25">
      <c r="A3065" t="s">
        <v>1917</v>
      </c>
      <c r="B3065" t="str">
        <f>VLOOKUP(Counties_by_State_Code[[#This Row],[State_Code]],Territory_by_Code[],2)</f>
        <v>Washington</v>
      </c>
      <c r="C3065" t="s">
        <v>1922</v>
      </c>
      <c r="D3065">
        <v>7178</v>
      </c>
      <c r="E3065">
        <v>2204</v>
      </c>
    </row>
    <row r="3066" spans="1:5" x14ac:dyDescent="0.25">
      <c r="A3066" t="s">
        <v>1917</v>
      </c>
      <c r="B3066" t="str">
        <f>VLOOKUP(Counties_by_State_Code[[#This Row],[State_Code]],Territory_by_Code[],2)</f>
        <v>Washington</v>
      </c>
      <c r="C3066" t="s">
        <v>30</v>
      </c>
      <c r="D3066">
        <v>96749</v>
      </c>
      <c r="E3066">
        <v>1242</v>
      </c>
    </row>
    <row r="3067" spans="1:5" x14ac:dyDescent="0.25">
      <c r="A3067" t="s">
        <v>1917</v>
      </c>
      <c r="B3067" t="str">
        <f>VLOOKUP(Counties_by_State_Code[[#This Row],[State_Code]],Territory_by_Code[],2)</f>
        <v>Washington</v>
      </c>
      <c r="C3067" t="s">
        <v>260</v>
      </c>
      <c r="D3067">
        <v>2286</v>
      </c>
      <c r="E3067">
        <v>710</v>
      </c>
    </row>
    <row r="3068" spans="1:5" x14ac:dyDescent="0.25">
      <c r="A3068" t="s">
        <v>1917</v>
      </c>
      <c r="B3068" t="str">
        <f>VLOOKUP(Counties_by_State_Code[[#This Row],[State_Code]],Territory_by_Code[],2)</f>
        <v>Washington</v>
      </c>
      <c r="C3068" t="s">
        <v>143</v>
      </c>
      <c r="D3068">
        <v>99123</v>
      </c>
      <c r="E3068">
        <v>2680</v>
      </c>
    </row>
    <row r="3069" spans="1:5" x14ac:dyDescent="0.25">
      <c r="A3069" t="s">
        <v>1917</v>
      </c>
      <c r="B3069" t="str">
        <f>VLOOKUP(Counties_by_State_Code[[#This Row],[State_Code]],Territory_by_Code[],2)</f>
        <v>Washington</v>
      </c>
      <c r="C3069" t="s">
        <v>1923</v>
      </c>
      <c r="D3069">
        <v>75636</v>
      </c>
      <c r="E3069">
        <v>1902</v>
      </c>
    </row>
    <row r="3070" spans="1:5" x14ac:dyDescent="0.25">
      <c r="A3070" t="s">
        <v>1917</v>
      </c>
      <c r="B3070" t="str">
        <f>VLOOKUP(Counties_by_State_Code[[#This Row],[State_Code]],Territory_by_Code[],2)</f>
        <v>Washington</v>
      </c>
      <c r="C3070" t="s">
        <v>1924</v>
      </c>
      <c r="D3070">
        <v>86857</v>
      </c>
      <c r="E3070">
        <v>209</v>
      </c>
    </row>
    <row r="3071" spans="1:5" x14ac:dyDescent="0.25">
      <c r="A3071" t="s">
        <v>1917</v>
      </c>
      <c r="B3071" t="str">
        <f>VLOOKUP(Counties_by_State_Code[[#This Row],[State_Code]],Territory_by_Code[],2)</f>
        <v>Washington</v>
      </c>
      <c r="C3071" t="s">
        <v>37</v>
      </c>
      <c r="D3071">
        <v>32977</v>
      </c>
      <c r="E3071">
        <v>1804</v>
      </c>
    </row>
    <row r="3072" spans="1:5" x14ac:dyDescent="0.25">
      <c r="A3072" t="s">
        <v>1917</v>
      </c>
      <c r="B3072" t="str">
        <f>VLOOKUP(Counties_by_State_Code[[#This Row],[State_Code]],Territory_by_Code[],2)</f>
        <v>Washington</v>
      </c>
      <c r="C3072" t="s">
        <v>1726</v>
      </c>
      <c r="D3072">
        <v>2269675</v>
      </c>
      <c r="E3072">
        <v>2115</v>
      </c>
    </row>
    <row r="3073" spans="1:5" x14ac:dyDescent="0.25">
      <c r="A3073" t="s">
        <v>1917</v>
      </c>
      <c r="B3073" t="str">
        <f>VLOOKUP(Counties_by_State_Code[[#This Row],[State_Code]],Territory_by_Code[],2)</f>
        <v>Washington</v>
      </c>
      <c r="C3073" t="s">
        <v>1925</v>
      </c>
      <c r="D3073">
        <v>275611</v>
      </c>
      <c r="E3073">
        <v>395</v>
      </c>
    </row>
    <row r="3074" spans="1:5" x14ac:dyDescent="0.25">
      <c r="A3074" t="s">
        <v>1917</v>
      </c>
      <c r="B3074" t="str">
        <f>VLOOKUP(Counties_by_State_Code[[#This Row],[State_Code]],Territory_by_Code[],2)</f>
        <v>Washington</v>
      </c>
      <c r="C3074" t="s">
        <v>1926</v>
      </c>
      <c r="D3074">
        <v>44337</v>
      </c>
      <c r="E3074">
        <v>2297</v>
      </c>
    </row>
    <row r="3075" spans="1:5" x14ac:dyDescent="0.25">
      <c r="A3075" t="s">
        <v>1917</v>
      </c>
      <c r="B3075" t="str">
        <f>VLOOKUP(Counties_by_State_Code[[#This Row],[State_Code]],Territory_by_Code[],2)</f>
        <v>Washington</v>
      </c>
      <c r="C3075" t="s">
        <v>1927</v>
      </c>
      <c r="D3075">
        <v>22735</v>
      </c>
      <c r="E3075">
        <v>1872</v>
      </c>
    </row>
    <row r="3076" spans="1:5" x14ac:dyDescent="0.25">
      <c r="A3076" t="s">
        <v>1917</v>
      </c>
      <c r="B3076" t="str">
        <f>VLOOKUP(Counties_by_State_Code[[#This Row],[State_Code]],Territory_by_Code[],2)</f>
        <v>Washington</v>
      </c>
      <c r="C3076" t="s">
        <v>506</v>
      </c>
      <c r="D3076">
        <v>82149</v>
      </c>
      <c r="E3076">
        <v>2403</v>
      </c>
    </row>
    <row r="3077" spans="1:5" x14ac:dyDescent="0.25">
      <c r="A3077" t="s">
        <v>1917</v>
      </c>
      <c r="B3077" t="str">
        <f>VLOOKUP(Counties_by_State_Code[[#This Row],[State_Code]],Territory_by_Code[],2)</f>
        <v>Washington</v>
      </c>
      <c r="C3077" t="s">
        <v>151</v>
      </c>
      <c r="D3077">
        <v>10876</v>
      </c>
      <c r="E3077">
        <v>2311</v>
      </c>
    </row>
    <row r="3078" spans="1:5" x14ac:dyDescent="0.25">
      <c r="A3078" t="s">
        <v>1917</v>
      </c>
      <c r="B3078" t="str">
        <f>VLOOKUP(Counties_by_State_Code[[#This Row],[State_Code]],Territory_by_Code[],2)</f>
        <v>Washington</v>
      </c>
      <c r="C3078" t="s">
        <v>547</v>
      </c>
      <c r="D3078">
        <v>65726</v>
      </c>
      <c r="E3078">
        <v>959</v>
      </c>
    </row>
    <row r="3079" spans="1:5" x14ac:dyDescent="0.25">
      <c r="A3079" t="s">
        <v>1917</v>
      </c>
      <c r="B3079" t="str">
        <f>VLOOKUP(Counties_by_State_Code[[#This Row],[State_Code]],Territory_by_Code[],2)</f>
        <v>Washington</v>
      </c>
      <c r="C3079" t="s">
        <v>1928</v>
      </c>
      <c r="D3079">
        <v>42104</v>
      </c>
      <c r="E3079">
        <v>5268</v>
      </c>
    </row>
    <row r="3080" spans="1:5" x14ac:dyDescent="0.25">
      <c r="A3080" t="s">
        <v>1917</v>
      </c>
      <c r="B3080" t="str">
        <f>VLOOKUP(Counties_by_State_Code[[#This Row],[State_Code]],Territory_by_Code[],2)</f>
        <v>Washington</v>
      </c>
      <c r="C3080" t="s">
        <v>1929</v>
      </c>
      <c r="D3080">
        <v>23365</v>
      </c>
      <c r="E3080">
        <v>933</v>
      </c>
    </row>
    <row r="3081" spans="1:5" x14ac:dyDescent="0.25">
      <c r="A3081" t="s">
        <v>1917</v>
      </c>
      <c r="B3081" t="str">
        <f>VLOOKUP(Counties_by_State_Code[[#This Row],[State_Code]],Territory_by_Code[],2)</f>
        <v>Washington</v>
      </c>
      <c r="C3081" t="s">
        <v>1930</v>
      </c>
      <c r="D3081">
        <v>13401</v>
      </c>
      <c r="E3081">
        <v>1400</v>
      </c>
    </row>
    <row r="3082" spans="1:5" x14ac:dyDescent="0.25">
      <c r="A3082" t="s">
        <v>1917</v>
      </c>
      <c r="B3082" t="str">
        <f>VLOOKUP(Counties_by_State_Code[[#This Row],[State_Code]],Territory_by_Code[],2)</f>
        <v>Washington</v>
      </c>
      <c r="C3082" t="s">
        <v>442</v>
      </c>
      <c r="D3082">
        <v>921130</v>
      </c>
      <c r="E3082">
        <v>1670</v>
      </c>
    </row>
    <row r="3083" spans="1:5" x14ac:dyDescent="0.25">
      <c r="A3083" t="s">
        <v>1917</v>
      </c>
      <c r="B3083" t="str">
        <f>VLOOKUP(Counties_by_State_Code[[#This Row],[State_Code]],Territory_by_Code[],2)</f>
        <v>Washington</v>
      </c>
      <c r="C3083" t="s">
        <v>286</v>
      </c>
      <c r="D3083">
        <v>17788</v>
      </c>
      <c r="E3083">
        <v>174</v>
      </c>
    </row>
    <row r="3084" spans="1:5" x14ac:dyDescent="0.25">
      <c r="A3084" t="s">
        <v>1917</v>
      </c>
      <c r="B3084" t="str">
        <f>VLOOKUP(Counties_by_State_Code[[#This Row],[State_Code]],Territory_by_Code[],2)</f>
        <v>Washington</v>
      </c>
      <c r="C3084" t="s">
        <v>1931</v>
      </c>
      <c r="D3084">
        <v>129523</v>
      </c>
      <c r="E3084">
        <v>1731</v>
      </c>
    </row>
    <row r="3085" spans="1:5" x14ac:dyDescent="0.25">
      <c r="A3085" t="s">
        <v>1917</v>
      </c>
      <c r="B3085" t="str">
        <f>VLOOKUP(Counties_by_State_Code[[#This Row],[State_Code]],Territory_by_Code[],2)</f>
        <v>Washington</v>
      </c>
      <c r="C3085" t="s">
        <v>1932</v>
      </c>
      <c r="D3085">
        <v>12036</v>
      </c>
      <c r="E3085">
        <v>1656</v>
      </c>
    </row>
    <row r="3086" spans="1:5" x14ac:dyDescent="0.25">
      <c r="A3086" t="s">
        <v>1917</v>
      </c>
      <c r="B3086" t="str">
        <f>VLOOKUP(Counties_by_State_Code[[#This Row],[State_Code]],Territory_by_Code[],2)</f>
        <v>Washington</v>
      </c>
      <c r="C3086" t="s">
        <v>1933</v>
      </c>
      <c r="D3086">
        <v>827957</v>
      </c>
      <c r="E3086">
        <v>2087</v>
      </c>
    </row>
    <row r="3087" spans="1:5" x14ac:dyDescent="0.25">
      <c r="A3087" t="s">
        <v>1917</v>
      </c>
      <c r="B3087" t="str">
        <f>VLOOKUP(Counties_by_State_Code[[#This Row],[State_Code]],Territory_by_Code[],2)</f>
        <v>Washington</v>
      </c>
      <c r="C3087" t="s">
        <v>1934</v>
      </c>
      <c r="D3087">
        <v>539339</v>
      </c>
      <c r="E3087">
        <v>1764</v>
      </c>
    </row>
    <row r="3088" spans="1:5" x14ac:dyDescent="0.25">
      <c r="A3088" t="s">
        <v>1917</v>
      </c>
      <c r="B3088" t="str">
        <f>VLOOKUP(Counties_by_State_Code[[#This Row],[State_Code]],Territory_by_Code[],2)</f>
        <v>Washington</v>
      </c>
      <c r="C3088" t="s">
        <v>719</v>
      </c>
      <c r="D3088">
        <v>46445</v>
      </c>
      <c r="E3088">
        <v>2478</v>
      </c>
    </row>
    <row r="3089" spans="1:5" x14ac:dyDescent="0.25">
      <c r="A3089" t="s">
        <v>1917</v>
      </c>
      <c r="B3089" t="str">
        <f>VLOOKUP(Counties_by_State_Code[[#This Row],[State_Code]],Territory_by_Code[],2)</f>
        <v>Washington</v>
      </c>
      <c r="C3089" t="s">
        <v>1149</v>
      </c>
      <c r="D3089">
        <v>294793</v>
      </c>
      <c r="E3089">
        <v>722</v>
      </c>
    </row>
    <row r="3090" spans="1:5" x14ac:dyDescent="0.25">
      <c r="A3090" t="s">
        <v>1917</v>
      </c>
      <c r="B3090" t="str">
        <f>VLOOKUP(Counties_by_State_Code[[#This Row],[State_Code]],Territory_by_Code[],2)</f>
        <v>Washington</v>
      </c>
      <c r="C3090" t="s">
        <v>1935</v>
      </c>
      <c r="D3090">
        <v>4422</v>
      </c>
      <c r="E3090">
        <v>264</v>
      </c>
    </row>
    <row r="3091" spans="1:5" x14ac:dyDescent="0.25">
      <c r="A3091" t="s">
        <v>1917</v>
      </c>
      <c r="B3091" t="str">
        <f>VLOOKUP(Counties_by_State_Code[[#This Row],[State_Code]],Territory_by_Code[],2)</f>
        <v>Washington</v>
      </c>
      <c r="C3091" t="s">
        <v>1936</v>
      </c>
      <c r="D3091">
        <v>62584</v>
      </c>
      <c r="E3091">
        <v>1270</v>
      </c>
    </row>
    <row r="3092" spans="1:5" x14ac:dyDescent="0.25">
      <c r="A3092" t="s">
        <v>1917</v>
      </c>
      <c r="B3092" t="str">
        <f>VLOOKUP(Counties_by_State_Code[[#This Row],[State_Code]],Territory_by_Code[],2)</f>
        <v>Washington</v>
      </c>
      <c r="C3092" t="s">
        <v>1937</v>
      </c>
      <c r="D3092">
        <v>226847</v>
      </c>
      <c r="E3092">
        <v>2107</v>
      </c>
    </row>
    <row r="3093" spans="1:5" x14ac:dyDescent="0.25">
      <c r="A3093" t="s">
        <v>1917</v>
      </c>
      <c r="B3093" t="str">
        <f>VLOOKUP(Counties_by_State_Code[[#This Row],[State_Code]],Territory_by_Code[],2)</f>
        <v>Washington</v>
      </c>
      <c r="C3093" t="s">
        <v>1938</v>
      </c>
      <c r="D3093">
        <v>47973</v>
      </c>
      <c r="E3093">
        <v>2159</v>
      </c>
    </row>
    <row r="3094" spans="1:5" x14ac:dyDescent="0.25">
      <c r="A3094" t="s">
        <v>1917</v>
      </c>
      <c r="B3094" t="str">
        <f>VLOOKUP(Counties_by_State_Code[[#This Row],[State_Code]],Territory_by_Code[],2)</f>
        <v>Washington</v>
      </c>
      <c r="C3094" t="s">
        <v>1939</v>
      </c>
      <c r="D3094">
        <v>256728</v>
      </c>
      <c r="E3094">
        <v>4296</v>
      </c>
    </row>
    <row r="3095" spans="1:5" x14ac:dyDescent="0.25">
      <c r="A3095" t="s">
        <v>1940</v>
      </c>
      <c r="B3095" t="str">
        <f>VLOOKUP(Counties_by_State_Code[[#This Row],[State_Code]],Territory_by_Code[],2)</f>
        <v>West Virginia</v>
      </c>
      <c r="C3095" t="s">
        <v>3</v>
      </c>
      <c r="D3095">
        <v>15465</v>
      </c>
      <c r="E3095">
        <v>341</v>
      </c>
    </row>
    <row r="3096" spans="1:5" x14ac:dyDescent="0.25">
      <c r="A3096" t="s">
        <v>1940</v>
      </c>
      <c r="B3096" t="str">
        <f>VLOOKUP(Counties_by_State_Code[[#This Row],[State_Code]],Territory_by_Code[],2)</f>
        <v>West Virginia</v>
      </c>
      <c r="C3096" t="s">
        <v>1555</v>
      </c>
      <c r="D3096">
        <v>122076</v>
      </c>
      <c r="E3096">
        <v>321</v>
      </c>
    </row>
    <row r="3097" spans="1:5" x14ac:dyDescent="0.25">
      <c r="A3097" t="s">
        <v>1940</v>
      </c>
      <c r="B3097" t="str">
        <f>VLOOKUP(Counties_by_State_Code[[#This Row],[State_Code]],Territory_by_Code[],2)</f>
        <v>West Virginia</v>
      </c>
      <c r="C3097" t="s">
        <v>126</v>
      </c>
      <c r="D3097">
        <v>21809</v>
      </c>
      <c r="E3097">
        <v>503</v>
      </c>
    </row>
    <row r="3098" spans="1:5" x14ac:dyDescent="0.25">
      <c r="A3098" t="s">
        <v>1940</v>
      </c>
      <c r="B3098" t="str">
        <f>VLOOKUP(Counties_by_State_Code[[#This Row],[State_Code]],Territory_by_Code[],2)</f>
        <v>West Virginia</v>
      </c>
      <c r="C3098" t="s">
        <v>1941</v>
      </c>
      <c r="D3098">
        <v>12447</v>
      </c>
      <c r="E3098">
        <v>514</v>
      </c>
    </row>
    <row r="3099" spans="1:5" x14ac:dyDescent="0.25">
      <c r="A3099" t="s">
        <v>1940</v>
      </c>
      <c r="B3099" t="str">
        <f>VLOOKUP(Counties_by_State_Code[[#This Row],[State_Code]],Territory_by_Code[],2)</f>
        <v>West Virginia</v>
      </c>
      <c r="C3099" t="s">
        <v>1942</v>
      </c>
      <c r="D3099">
        <v>22559</v>
      </c>
      <c r="E3099">
        <v>89</v>
      </c>
    </row>
    <row r="3100" spans="1:5" x14ac:dyDescent="0.25">
      <c r="A3100" t="s">
        <v>1940</v>
      </c>
      <c r="B3100" t="str">
        <f>VLOOKUP(Counties_by_State_Code[[#This Row],[State_Code]],Territory_by_Code[],2)</f>
        <v>West Virginia</v>
      </c>
      <c r="C3100" t="s">
        <v>1943</v>
      </c>
      <c r="D3100">
        <v>94350</v>
      </c>
      <c r="E3100">
        <v>282</v>
      </c>
    </row>
    <row r="3101" spans="1:5" x14ac:dyDescent="0.25">
      <c r="A3101" t="s">
        <v>1940</v>
      </c>
      <c r="B3101" t="str">
        <f>VLOOKUP(Counties_by_State_Code[[#This Row],[State_Code]],Territory_by_Code[],2)</f>
        <v>West Virginia</v>
      </c>
      <c r="C3101" t="s">
        <v>8</v>
      </c>
      <c r="D3101">
        <v>6229</v>
      </c>
      <c r="E3101">
        <v>281</v>
      </c>
    </row>
    <row r="3102" spans="1:5" x14ac:dyDescent="0.25">
      <c r="A3102" t="s">
        <v>1940</v>
      </c>
      <c r="B3102" t="str">
        <f>VLOOKUP(Counties_by_State_Code[[#This Row],[State_Code]],Territory_by_Code[],2)</f>
        <v>West Virginia</v>
      </c>
      <c r="C3102" t="s">
        <v>14</v>
      </c>
      <c r="D3102">
        <v>8051</v>
      </c>
      <c r="E3102">
        <v>342</v>
      </c>
    </row>
    <row r="3103" spans="1:5" x14ac:dyDescent="0.25">
      <c r="A3103" t="s">
        <v>1940</v>
      </c>
      <c r="B3103" t="str">
        <f>VLOOKUP(Counties_by_State_Code[[#This Row],[State_Code]],Territory_by_Code[],2)</f>
        <v>West Virginia</v>
      </c>
      <c r="C3103" t="s">
        <v>1944</v>
      </c>
      <c r="D3103">
        <v>7808</v>
      </c>
      <c r="E3103">
        <v>320</v>
      </c>
    </row>
    <row r="3104" spans="1:5" x14ac:dyDescent="0.25">
      <c r="A3104" t="s">
        <v>1940</v>
      </c>
      <c r="B3104" t="str">
        <f>VLOOKUP(Counties_by_State_Code[[#This Row],[State_Code]],Territory_by_Code[],2)</f>
        <v>West Virginia</v>
      </c>
      <c r="C3104" t="s">
        <v>29</v>
      </c>
      <c r="D3104">
        <v>40488</v>
      </c>
      <c r="E3104">
        <v>664</v>
      </c>
    </row>
    <row r="3105" spans="1:5" x14ac:dyDescent="0.25">
      <c r="A3105" t="s">
        <v>1940</v>
      </c>
      <c r="B3105" t="str">
        <f>VLOOKUP(Counties_by_State_Code[[#This Row],[State_Code]],Territory_by_Code[],2)</f>
        <v>West Virginia</v>
      </c>
      <c r="C3105" t="s">
        <v>410</v>
      </c>
      <c r="D3105">
        <v>7408</v>
      </c>
      <c r="E3105">
        <v>340</v>
      </c>
    </row>
    <row r="3106" spans="1:5" x14ac:dyDescent="0.25">
      <c r="A3106" t="s">
        <v>1940</v>
      </c>
      <c r="B3106" t="str">
        <f>VLOOKUP(Counties_by_State_Code[[#This Row],[State_Code]],Territory_by_Code[],2)</f>
        <v>West Virginia</v>
      </c>
      <c r="C3106" t="s">
        <v>143</v>
      </c>
      <c r="D3106">
        <v>10976</v>
      </c>
      <c r="E3106">
        <v>477</v>
      </c>
    </row>
    <row r="3107" spans="1:5" x14ac:dyDescent="0.25">
      <c r="A3107" t="s">
        <v>1940</v>
      </c>
      <c r="B3107" t="str">
        <f>VLOOKUP(Counties_by_State_Code[[#This Row],[State_Code]],Territory_by_Code[],2)</f>
        <v>West Virginia</v>
      </c>
      <c r="C3107" t="s">
        <v>1945</v>
      </c>
      <c r="D3107">
        <v>32977</v>
      </c>
      <c r="E3107">
        <v>1021</v>
      </c>
    </row>
    <row r="3108" spans="1:5" x14ac:dyDescent="0.25">
      <c r="A3108" t="s">
        <v>1940</v>
      </c>
      <c r="B3108" t="str">
        <f>VLOOKUP(Counties_by_State_Code[[#This Row],[State_Code]],Territory_by_Code[],2)</f>
        <v>West Virginia</v>
      </c>
      <c r="C3108" t="s">
        <v>868</v>
      </c>
      <c r="D3108">
        <v>23093</v>
      </c>
      <c r="E3108">
        <v>642</v>
      </c>
    </row>
    <row r="3109" spans="1:5" x14ac:dyDescent="0.25">
      <c r="A3109" t="s">
        <v>1940</v>
      </c>
      <c r="B3109" t="str">
        <f>VLOOKUP(Counties_by_State_Code[[#This Row],[State_Code]],Territory_by_Code[],2)</f>
        <v>West Virginia</v>
      </c>
      <c r="C3109" t="s">
        <v>418</v>
      </c>
      <c r="D3109">
        <v>29095</v>
      </c>
      <c r="E3109">
        <v>83</v>
      </c>
    </row>
    <row r="3110" spans="1:5" x14ac:dyDescent="0.25">
      <c r="A3110" t="s">
        <v>1940</v>
      </c>
      <c r="B3110" t="str">
        <f>VLOOKUP(Counties_by_State_Code[[#This Row],[State_Code]],Territory_by_Code[],2)</f>
        <v>West Virginia</v>
      </c>
      <c r="C3110" t="s">
        <v>1946</v>
      </c>
      <c r="D3110">
        <v>14299</v>
      </c>
      <c r="E3110">
        <v>583</v>
      </c>
    </row>
    <row r="3111" spans="1:5" x14ac:dyDescent="0.25">
      <c r="A3111" t="s">
        <v>1940</v>
      </c>
      <c r="B3111" t="str">
        <f>VLOOKUP(Counties_by_State_Code[[#This Row],[State_Code]],Territory_by_Code[],2)</f>
        <v>West Virginia</v>
      </c>
      <c r="C3111" t="s">
        <v>583</v>
      </c>
      <c r="D3111">
        <v>65921</v>
      </c>
      <c r="E3111">
        <v>416</v>
      </c>
    </row>
    <row r="3112" spans="1:5" x14ac:dyDescent="0.25">
      <c r="A3112" t="s">
        <v>1940</v>
      </c>
      <c r="B3112" t="str">
        <f>VLOOKUP(Counties_by_State_Code[[#This Row],[State_Code]],Territory_by_Code[],2)</f>
        <v>West Virginia</v>
      </c>
      <c r="C3112" t="s">
        <v>36</v>
      </c>
      <c r="D3112">
        <v>27791</v>
      </c>
      <c r="E3112">
        <v>466</v>
      </c>
    </row>
    <row r="3113" spans="1:5" x14ac:dyDescent="0.25">
      <c r="A3113" t="s">
        <v>1940</v>
      </c>
      <c r="B3113" t="str">
        <f>VLOOKUP(Counties_by_State_Code[[#This Row],[State_Code]],Territory_by_Code[],2)</f>
        <v>West Virginia</v>
      </c>
      <c r="C3113" t="s">
        <v>37</v>
      </c>
      <c r="D3113">
        <v>57701</v>
      </c>
      <c r="E3113">
        <v>210</v>
      </c>
    </row>
    <row r="3114" spans="1:5" x14ac:dyDescent="0.25">
      <c r="A3114" t="s">
        <v>1940</v>
      </c>
      <c r="B3114" t="str">
        <f>VLOOKUP(Counties_by_State_Code[[#This Row],[State_Code]],Territory_by_Code[],2)</f>
        <v>West Virginia</v>
      </c>
      <c r="C3114" t="s">
        <v>1947</v>
      </c>
      <c r="D3114">
        <v>180745</v>
      </c>
      <c r="E3114">
        <v>903</v>
      </c>
    </row>
    <row r="3115" spans="1:5" x14ac:dyDescent="0.25">
      <c r="A3115" t="s">
        <v>1940</v>
      </c>
      <c r="B3115" t="str">
        <f>VLOOKUP(Counties_by_State_Code[[#This Row],[State_Code]],Territory_by_Code[],2)</f>
        <v>West Virginia</v>
      </c>
      <c r="C3115" t="s">
        <v>506</v>
      </c>
      <c r="D3115">
        <v>17033</v>
      </c>
      <c r="E3115">
        <v>389</v>
      </c>
    </row>
    <row r="3116" spans="1:5" x14ac:dyDescent="0.25">
      <c r="A3116" t="s">
        <v>1940</v>
      </c>
      <c r="B3116" t="str">
        <f>VLOOKUP(Counties_by_State_Code[[#This Row],[State_Code]],Territory_by_Code[],2)</f>
        <v>West Virginia</v>
      </c>
      <c r="C3116" t="s">
        <v>151</v>
      </c>
      <c r="D3116">
        <v>20463</v>
      </c>
      <c r="E3116">
        <v>438</v>
      </c>
    </row>
    <row r="3117" spans="1:5" x14ac:dyDescent="0.25">
      <c r="A3117" t="s">
        <v>1940</v>
      </c>
      <c r="B3117" t="str">
        <f>VLOOKUP(Counties_by_State_Code[[#This Row],[State_Code]],Territory_by_Code[],2)</f>
        <v>West Virginia</v>
      </c>
      <c r="C3117" t="s">
        <v>153</v>
      </c>
      <c r="D3117">
        <v>32567</v>
      </c>
      <c r="E3117">
        <v>454</v>
      </c>
    </row>
    <row r="3118" spans="1:5" x14ac:dyDescent="0.25">
      <c r="A3118" t="s">
        <v>1940</v>
      </c>
      <c r="B3118" t="str">
        <f>VLOOKUP(Counties_by_State_Code[[#This Row],[State_Code]],Territory_by_Code[],2)</f>
        <v>West Virginia</v>
      </c>
      <c r="C3118" t="s">
        <v>47</v>
      </c>
      <c r="D3118">
        <v>56205</v>
      </c>
      <c r="E3118">
        <v>307</v>
      </c>
    </row>
    <row r="3119" spans="1:5" x14ac:dyDescent="0.25">
      <c r="A3119" t="s">
        <v>1940</v>
      </c>
      <c r="B3119" t="str">
        <f>VLOOKUP(Counties_by_State_Code[[#This Row],[State_Code]],Territory_by_Code[],2)</f>
        <v>West Virginia</v>
      </c>
      <c r="C3119" t="s">
        <v>48</v>
      </c>
      <c r="D3119">
        <v>30591</v>
      </c>
      <c r="E3119">
        <v>432</v>
      </c>
    </row>
    <row r="3120" spans="1:5" x14ac:dyDescent="0.25">
      <c r="A3120" t="s">
        <v>1940</v>
      </c>
      <c r="B3120" t="str">
        <f>VLOOKUP(Counties_by_State_Code[[#This Row],[State_Code]],Territory_by_Code[],2)</f>
        <v>West Virginia</v>
      </c>
      <c r="C3120" t="s">
        <v>547</v>
      </c>
      <c r="D3120">
        <v>25453</v>
      </c>
      <c r="E3120">
        <v>535</v>
      </c>
    </row>
    <row r="3121" spans="1:5" x14ac:dyDescent="0.25">
      <c r="A3121" t="s">
        <v>1940</v>
      </c>
      <c r="B3121" t="str">
        <f>VLOOKUP(Counties_by_State_Code[[#This Row],[State_Code]],Territory_by_Code[],2)</f>
        <v>West Virginia</v>
      </c>
      <c r="C3121" t="s">
        <v>1276</v>
      </c>
      <c r="D3121">
        <v>19111</v>
      </c>
      <c r="E3121">
        <v>534</v>
      </c>
    </row>
    <row r="3122" spans="1:5" x14ac:dyDescent="0.25">
      <c r="A3122" t="s">
        <v>1940</v>
      </c>
      <c r="B3122" t="str">
        <f>VLOOKUP(Counties_by_State_Code[[#This Row],[State_Code]],Territory_by_Code[],2)</f>
        <v>West Virginia</v>
      </c>
      <c r="C3122" t="s">
        <v>553</v>
      </c>
      <c r="D3122">
        <v>59664</v>
      </c>
      <c r="E3122">
        <v>420</v>
      </c>
    </row>
    <row r="3123" spans="1:5" x14ac:dyDescent="0.25">
      <c r="A3123" t="s">
        <v>1940</v>
      </c>
      <c r="B3123" t="str">
        <f>VLOOKUP(Counties_by_State_Code[[#This Row],[State_Code]],Territory_by_Code[],2)</f>
        <v>West Virginia</v>
      </c>
      <c r="C3123" t="s">
        <v>272</v>
      </c>
      <c r="D3123">
        <v>26938</v>
      </c>
      <c r="E3123">
        <v>328</v>
      </c>
    </row>
    <row r="3124" spans="1:5" x14ac:dyDescent="0.25">
      <c r="A3124" t="s">
        <v>1940</v>
      </c>
      <c r="B3124" t="str">
        <f>VLOOKUP(Counties_by_State_Code[[#This Row],[State_Code]],Territory_by_Code[],2)</f>
        <v>West Virginia</v>
      </c>
      <c r="C3124" t="s">
        <v>1948</v>
      </c>
      <c r="D3124">
        <v>23568</v>
      </c>
      <c r="E3124">
        <v>423</v>
      </c>
    </row>
    <row r="3125" spans="1:5" x14ac:dyDescent="0.25">
      <c r="A3125" t="s">
        <v>1940</v>
      </c>
      <c r="B3125" t="str">
        <f>VLOOKUP(Counties_by_State_Code[[#This Row],[State_Code]],Territory_by_Code[],2)</f>
        <v>West Virginia</v>
      </c>
      <c r="C3125" t="s">
        <v>1949</v>
      </c>
      <c r="D3125">
        <v>105822</v>
      </c>
      <c r="E3125">
        <v>361</v>
      </c>
    </row>
    <row r="3126" spans="1:5" x14ac:dyDescent="0.25">
      <c r="A3126" t="s">
        <v>1940</v>
      </c>
      <c r="B3126" t="str">
        <f>VLOOKUP(Counties_by_State_Code[[#This Row],[State_Code]],Territory_by_Code[],2)</f>
        <v>West Virginia</v>
      </c>
      <c r="C3126" t="s">
        <v>50</v>
      </c>
      <c r="D3126">
        <v>12376</v>
      </c>
      <c r="E3126">
        <v>473</v>
      </c>
    </row>
    <row r="3127" spans="1:5" x14ac:dyDescent="0.25">
      <c r="A3127" t="s">
        <v>1940</v>
      </c>
      <c r="B3127" t="str">
        <f>VLOOKUP(Counties_by_State_Code[[#This Row],[State_Code]],Territory_by_Code[],2)</f>
        <v>West Virginia</v>
      </c>
      <c r="C3127" t="s">
        <v>52</v>
      </c>
      <c r="D3127">
        <v>17063</v>
      </c>
      <c r="E3127">
        <v>229</v>
      </c>
    </row>
    <row r="3128" spans="1:5" x14ac:dyDescent="0.25">
      <c r="A3128" t="s">
        <v>1940</v>
      </c>
      <c r="B3128" t="str">
        <f>VLOOKUP(Counties_by_State_Code[[#This Row],[State_Code]],Territory_by_Code[],2)</f>
        <v>West Virginia</v>
      </c>
      <c r="C3128" t="s">
        <v>771</v>
      </c>
      <c r="D3128">
        <v>24604</v>
      </c>
      <c r="E3128">
        <v>649</v>
      </c>
    </row>
    <row r="3129" spans="1:5" x14ac:dyDescent="0.25">
      <c r="A3129" t="s">
        <v>1940</v>
      </c>
      <c r="B3129" t="str">
        <f>VLOOKUP(Counties_by_State_Code[[#This Row],[State_Code]],Territory_by_Code[],2)</f>
        <v>West Virginia</v>
      </c>
      <c r="C3129" t="s">
        <v>593</v>
      </c>
      <c r="D3129">
        <v>42425</v>
      </c>
      <c r="E3129">
        <v>106</v>
      </c>
    </row>
    <row r="3130" spans="1:5" x14ac:dyDescent="0.25">
      <c r="A3130" t="s">
        <v>1940</v>
      </c>
      <c r="B3130" t="str">
        <f>VLOOKUP(Counties_by_State_Code[[#This Row],[State_Code]],Territory_by_Code[],2)</f>
        <v>West Virginia</v>
      </c>
      <c r="C3130" t="s">
        <v>774</v>
      </c>
      <c r="D3130">
        <v>6143</v>
      </c>
      <c r="E3130">
        <v>698</v>
      </c>
    </row>
    <row r="3131" spans="1:5" x14ac:dyDescent="0.25">
      <c r="A3131" t="s">
        <v>1940</v>
      </c>
      <c r="B3131" t="str">
        <f>VLOOKUP(Counties_by_State_Code[[#This Row],[State_Code]],Territory_by_Code[],2)</f>
        <v>West Virginia</v>
      </c>
      <c r="C3131" t="s">
        <v>1950</v>
      </c>
      <c r="D3131">
        <v>7653</v>
      </c>
      <c r="E3131">
        <v>131</v>
      </c>
    </row>
    <row r="3132" spans="1:5" x14ac:dyDescent="0.25">
      <c r="A3132" t="s">
        <v>1940</v>
      </c>
      <c r="B3132" t="str">
        <f>VLOOKUP(Counties_by_State_Code[[#This Row],[State_Code]],Territory_by_Code[],2)</f>
        <v>West Virginia</v>
      </c>
      <c r="C3132" t="s">
        <v>648</v>
      </c>
      <c r="D3132">
        <v>7869</v>
      </c>
      <c r="E3132">
        <v>940</v>
      </c>
    </row>
    <row r="3133" spans="1:5" x14ac:dyDescent="0.25">
      <c r="A3133" t="s">
        <v>1940</v>
      </c>
      <c r="B3133" t="str">
        <f>VLOOKUP(Counties_by_State_Code[[#This Row],[State_Code]],Territory_by_Code[],2)</f>
        <v>West Virginia</v>
      </c>
      <c r="C3133" t="s">
        <v>1951</v>
      </c>
      <c r="D3133">
        <v>34216</v>
      </c>
      <c r="E3133">
        <v>648</v>
      </c>
    </row>
    <row r="3134" spans="1:5" x14ac:dyDescent="0.25">
      <c r="A3134" t="s">
        <v>1940</v>
      </c>
      <c r="B3134" t="str">
        <f>VLOOKUP(Counties_by_State_Code[[#This Row],[State_Code]],Territory_by_Code[],2)</f>
        <v>West Virginia</v>
      </c>
      <c r="C3134" t="s">
        <v>355</v>
      </c>
      <c r="D3134">
        <v>57440</v>
      </c>
      <c r="E3134">
        <v>346</v>
      </c>
    </row>
    <row r="3135" spans="1:5" x14ac:dyDescent="0.25">
      <c r="A3135" t="s">
        <v>1940</v>
      </c>
      <c r="B3135" t="str">
        <f>VLOOKUP(Counties_by_State_Code[[#This Row],[State_Code]],Territory_by_Code[],2)</f>
        <v>West Virginia</v>
      </c>
      <c r="C3135" t="s">
        <v>1952</v>
      </c>
      <c r="D3135">
        <v>74591</v>
      </c>
      <c r="E3135">
        <v>607</v>
      </c>
    </row>
    <row r="3136" spans="1:5" x14ac:dyDescent="0.25">
      <c r="A3136" t="s">
        <v>1940</v>
      </c>
      <c r="B3136" t="str">
        <f>VLOOKUP(Counties_by_State_Code[[#This Row],[State_Code]],Territory_by_Code[],2)</f>
        <v>West Virginia</v>
      </c>
      <c r="C3136" t="s">
        <v>56</v>
      </c>
      <c r="D3136">
        <v>27932</v>
      </c>
      <c r="E3136">
        <v>1040</v>
      </c>
    </row>
    <row r="3137" spans="1:5" x14ac:dyDescent="0.25">
      <c r="A3137" t="s">
        <v>1940</v>
      </c>
      <c r="B3137" t="str">
        <f>VLOOKUP(Counties_by_State_Code[[#This Row],[State_Code]],Territory_by_Code[],2)</f>
        <v>West Virginia</v>
      </c>
      <c r="C3137" t="s">
        <v>1953</v>
      </c>
      <c r="D3137">
        <v>8444</v>
      </c>
      <c r="E3137">
        <v>454</v>
      </c>
    </row>
    <row r="3138" spans="1:5" x14ac:dyDescent="0.25">
      <c r="A3138" t="s">
        <v>1940</v>
      </c>
      <c r="B3138" t="str">
        <f>VLOOKUP(Counties_by_State_Code[[#This Row],[State_Code]],Territory_by_Code[],2)</f>
        <v>West Virginia</v>
      </c>
      <c r="C3138" t="s">
        <v>1638</v>
      </c>
      <c r="D3138">
        <v>14028</v>
      </c>
      <c r="E3138">
        <v>484</v>
      </c>
    </row>
    <row r="3139" spans="1:5" x14ac:dyDescent="0.25">
      <c r="A3139" t="s">
        <v>1940</v>
      </c>
      <c r="B3139" t="str">
        <f>VLOOKUP(Counties_by_State_Code[[#This Row],[State_Code]],Territory_by_Code[],2)</f>
        <v>West Virginia</v>
      </c>
      <c r="C3139" t="s">
        <v>1954</v>
      </c>
      <c r="D3139">
        <v>11959</v>
      </c>
      <c r="E3139">
        <v>361</v>
      </c>
    </row>
    <row r="3140" spans="1:5" x14ac:dyDescent="0.25">
      <c r="A3140" t="s">
        <v>1940</v>
      </c>
      <c r="B3140" t="str">
        <f>VLOOKUP(Counties_by_State_Code[[#This Row],[State_Code]],Territory_by_Code[],2)</f>
        <v>West Virginia</v>
      </c>
      <c r="C3140" t="s">
        <v>362</v>
      </c>
      <c r="D3140">
        <v>16705</v>
      </c>
      <c r="E3140">
        <v>173</v>
      </c>
    </row>
    <row r="3141" spans="1:5" x14ac:dyDescent="0.25">
      <c r="A3141" t="s">
        <v>1940</v>
      </c>
      <c r="B3141" t="str">
        <f>VLOOKUP(Counties_by_State_Code[[#This Row],[State_Code]],Territory_by_Code[],2)</f>
        <v>West Virginia</v>
      </c>
      <c r="C3141" t="s">
        <v>1955</v>
      </c>
      <c r="D3141">
        <v>6762</v>
      </c>
      <c r="E3141">
        <v>419</v>
      </c>
    </row>
    <row r="3142" spans="1:5" x14ac:dyDescent="0.25">
      <c r="A3142" t="s">
        <v>1940</v>
      </c>
      <c r="B3142" t="str">
        <f>VLOOKUP(Counties_by_State_Code[[#This Row],[State_Code]],Territory_by_Code[],2)</f>
        <v>West Virginia</v>
      </c>
      <c r="C3142" t="s">
        <v>1785</v>
      </c>
      <c r="D3142">
        <v>8313</v>
      </c>
      <c r="E3142">
        <v>258</v>
      </c>
    </row>
    <row r="3143" spans="1:5" x14ac:dyDescent="0.25">
      <c r="A3143" t="s">
        <v>1940</v>
      </c>
      <c r="B3143" t="str">
        <f>VLOOKUP(Counties_by_State_Code[[#This Row],[State_Code]],Territory_by_Code[],2)</f>
        <v>West Virginia</v>
      </c>
      <c r="C3143" t="s">
        <v>1786</v>
      </c>
      <c r="D3143">
        <v>23816</v>
      </c>
      <c r="E3143">
        <v>355</v>
      </c>
    </row>
    <row r="3144" spans="1:5" x14ac:dyDescent="0.25">
      <c r="A3144" t="s">
        <v>1940</v>
      </c>
      <c r="B3144" t="str">
        <f>VLOOKUP(Counties_by_State_Code[[#This Row],[State_Code]],Territory_by_Code[],2)</f>
        <v>West Virginia</v>
      </c>
      <c r="C3144" t="s">
        <v>468</v>
      </c>
      <c r="D3144">
        <v>38982</v>
      </c>
      <c r="E3144">
        <v>506</v>
      </c>
    </row>
    <row r="3145" spans="1:5" x14ac:dyDescent="0.25">
      <c r="A3145" t="s">
        <v>1940</v>
      </c>
      <c r="B3145" t="str">
        <f>VLOOKUP(Counties_by_State_Code[[#This Row],[State_Code]],Territory_by_Code[],2)</f>
        <v>West Virginia</v>
      </c>
      <c r="C3145" t="s">
        <v>469</v>
      </c>
      <c r="D3145">
        <v>8378</v>
      </c>
      <c r="E3145">
        <v>556</v>
      </c>
    </row>
    <row r="3146" spans="1:5" x14ac:dyDescent="0.25">
      <c r="A3146" t="s">
        <v>1940</v>
      </c>
      <c r="B3146" t="str">
        <f>VLOOKUP(Counties_by_State_Code[[#This Row],[State_Code]],Territory_by_Code[],2)</f>
        <v>West Virginia</v>
      </c>
      <c r="C3146" t="s">
        <v>1956</v>
      </c>
      <c r="D3146">
        <v>14442</v>
      </c>
      <c r="E3146">
        <v>359</v>
      </c>
    </row>
    <row r="3147" spans="1:5" x14ac:dyDescent="0.25">
      <c r="A3147" t="s">
        <v>1940</v>
      </c>
      <c r="B3147" t="str">
        <f>VLOOKUP(Counties_by_State_Code[[#This Row],[State_Code]],Territory_by_Code[],2)</f>
        <v>West Virginia</v>
      </c>
      <c r="C3147" t="s">
        <v>1957</v>
      </c>
      <c r="D3147">
        <v>5194</v>
      </c>
      <c r="E3147">
        <v>233</v>
      </c>
    </row>
    <row r="3148" spans="1:5" x14ac:dyDescent="0.25">
      <c r="A3148" t="s">
        <v>1940</v>
      </c>
      <c r="B3148" t="str">
        <f>VLOOKUP(Counties_by_State_Code[[#This Row],[State_Code]],Territory_by_Code[],2)</f>
        <v>West Virginia</v>
      </c>
      <c r="C3148" t="s">
        <v>1374</v>
      </c>
      <c r="D3148">
        <v>84296</v>
      </c>
      <c r="E3148">
        <v>367</v>
      </c>
    </row>
    <row r="3149" spans="1:5" x14ac:dyDescent="0.25">
      <c r="A3149" t="s">
        <v>1940</v>
      </c>
      <c r="B3149" t="str">
        <f>VLOOKUP(Counties_by_State_Code[[#This Row],[State_Code]],Territory_by_Code[],2)</f>
        <v>West Virginia</v>
      </c>
      <c r="C3149" t="s">
        <v>1236</v>
      </c>
      <c r="D3149">
        <v>21382</v>
      </c>
      <c r="E3149">
        <v>501</v>
      </c>
    </row>
    <row r="3150" spans="1:5" x14ac:dyDescent="0.25">
      <c r="A3150" t="s">
        <v>1958</v>
      </c>
      <c r="B3150" t="str">
        <f>VLOOKUP(Counties_by_State_Code[[#This Row],[State_Code]],Territory_by_Code[],2)</f>
        <v>Wisconsin</v>
      </c>
      <c r="C3150" t="s">
        <v>236</v>
      </c>
      <c r="D3150">
        <v>20654</v>
      </c>
      <c r="E3150">
        <v>645.65</v>
      </c>
    </row>
    <row r="3151" spans="1:5" x14ac:dyDescent="0.25">
      <c r="A3151" t="s">
        <v>1958</v>
      </c>
      <c r="B3151" t="str">
        <f>VLOOKUP(Counties_by_State_Code[[#This Row],[State_Code]],Territory_by_Code[],2)</f>
        <v>Wisconsin</v>
      </c>
      <c r="C3151" t="s">
        <v>1341</v>
      </c>
      <c r="D3151">
        <v>16027</v>
      </c>
      <c r="E3151">
        <v>1045.04</v>
      </c>
    </row>
    <row r="3152" spans="1:5" x14ac:dyDescent="0.25">
      <c r="A3152" t="s">
        <v>1958</v>
      </c>
      <c r="B3152" t="str">
        <f>VLOOKUP(Counties_by_State_Code[[#This Row],[State_Code]],Territory_by_Code[],2)</f>
        <v>Wisconsin</v>
      </c>
      <c r="C3152" t="s">
        <v>1959</v>
      </c>
      <c r="D3152">
        <v>46711</v>
      </c>
      <c r="E3152">
        <v>862.71</v>
      </c>
    </row>
    <row r="3153" spans="1:5" x14ac:dyDescent="0.25">
      <c r="A3153" t="s">
        <v>1958</v>
      </c>
      <c r="B3153" t="str">
        <f>VLOOKUP(Counties_by_State_Code[[#This Row],[State_Code]],Territory_by_Code[],2)</f>
        <v>Wisconsin</v>
      </c>
      <c r="C3153" t="s">
        <v>1960</v>
      </c>
      <c r="D3153">
        <v>16220</v>
      </c>
      <c r="E3153">
        <v>1477.86</v>
      </c>
    </row>
    <row r="3154" spans="1:5" x14ac:dyDescent="0.25">
      <c r="A3154" t="s">
        <v>1958</v>
      </c>
      <c r="B3154" t="str">
        <f>VLOOKUP(Counties_by_State_Code[[#This Row],[State_Code]],Territory_by_Code[],2)</f>
        <v>Wisconsin</v>
      </c>
      <c r="C3154" t="s">
        <v>520</v>
      </c>
      <c r="D3154">
        <v>268740</v>
      </c>
      <c r="E3154">
        <v>529.71</v>
      </c>
    </row>
    <row r="3155" spans="1:5" x14ac:dyDescent="0.25">
      <c r="A3155" t="s">
        <v>1958</v>
      </c>
      <c r="B3155" t="str">
        <f>VLOOKUP(Counties_by_State_Code[[#This Row],[State_Code]],Territory_by_Code[],2)</f>
        <v>Wisconsin</v>
      </c>
      <c r="C3155" t="s">
        <v>1114</v>
      </c>
      <c r="D3155">
        <v>13317</v>
      </c>
      <c r="E3155">
        <v>671.64</v>
      </c>
    </row>
    <row r="3156" spans="1:5" x14ac:dyDescent="0.25">
      <c r="A3156" t="s">
        <v>1958</v>
      </c>
      <c r="B3156" t="str">
        <f>VLOOKUP(Counties_by_State_Code[[#This Row],[State_Code]],Territory_by_Code[],2)</f>
        <v>Wisconsin</v>
      </c>
      <c r="C3156" t="s">
        <v>1961</v>
      </c>
      <c r="D3156">
        <v>16526</v>
      </c>
      <c r="E3156">
        <v>821.85</v>
      </c>
    </row>
    <row r="3157" spans="1:5" x14ac:dyDescent="0.25">
      <c r="A3157" t="s">
        <v>1958</v>
      </c>
      <c r="B3157" t="str">
        <f>VLOOKUP(Counties_by_State_Code[[#This Row],[State_Code]],Territory_by_Code[],2)</f>
        <v>Wisconsin</v>
      </c>
      <c r="C3157" t="s">
        <v>1962</v>
      </c>
      <c r="D3157">
        <v>52442</v>
      </c>
      <c r="E3157">
        <v>318.24</v>
      </c>
    </row>
    <row r="3158" spans="1:5" x14ac:dyDescent="0.25">
      <c r="A3158" t="s">
        <v>1958</v>
      </c>
      <c r="B3158" t="str">
        <f>VLOOKUP(Counties_by_State_Code[[#This Row],[State_Code]],Territory_by_Code[],2)</f>
        <v>Wisconsin</v>
      </c>
      <c r="C3158" t="s">
        <v>885</v>
      </c>
      <c r="D3158">
        <v>66297</v>
      </c>
      <c r="E3158">
        <v>1008.37</v>
      </c>
    </row>
    <row r="3159" spans="1:5" x14ac:dyDescent="0.25">
      <c r="A3159" t="s">
        <v>1958</v>
      </c>
      <c r="B3159" t="str">
        <f>VLOOKUP(Counties_by_State_Code[[#This Row],[State_Code]],Territory_by_Code[],2)</f>
        <v>Wisconsin</v>
      </c>
      <c r="C3159" t="s">
        <v>130</v>
      </c>
      <c r="D3159">
        <v>34659</v>
      </c>
      <c r="E3159">
        <v>1209.82</v>
      </c>
    </row>
    <row r="3160" spans="1:5" x14ac:dyDescent="0.25">
      <c r="A3160" t="s">
        <v>1958</v>
      </c>
      <c r="B3160" t="str">
        <f>VLOOKUP(Counties_by_State_Code[[#This Row],[State_Code]],Territory_by_Code[],2)</f>
        <v>Wisconsin</v>
      </c>
      <c r="C3160" t="s">
        <v>132</v>
      </c>
      <c r="D3160">
        <v>58490</v>
      </c>
      <c r="E3160">
        <v>765.53</v>
      </c>
    </row>
    <row r="3161" spans="1:5" x14ac:dyDescent="0.25">
      <c r="A3161" t="s">
        <v>1958</v>
      </c>
      <c r="B3161" t="str">
        <f>VLOOKUP(Counties_by_State_Code[[#This Row],[State_Code]],Territory_by_Code[],2)</f>
        <v>Wisconsin</v>
      </c>
      <c r="C3161" t="s">
        <v>135</v>
      </c>
      <c r="D3161">
        <v>16113</v>
      </c>
      <c r="E3161">
        <v>570.66</v>
      </c>
    </row>
    <row r="3162" spans="1:5" x14ac:dyDescent="0.25">
      <c r="A3162" t="s">
        <v>1958</v>
      </c>
      <c r="B3162" t="str">
        <f>VLOOKUP(Counties_by_State_Code[[#This Row],[State_Code]],Territory_by_Code[],2)</f>
        <v>Wisconsin</v>
      </c>
      <c r="C3162" t="s">
        <v>1963</v>
      </c>
      <c r="D3162">
        <v>561504</v>
      </c>
      <c r="E3162">
        <v>1197.24</v>
      </c>
    </row>
    <row r="3163" spans="1:5" x14ac:dyDescent="0.25">
      <c r="A3163" t="s">
        <v>1958</v>
      </c>
      <c r="B3163" t="str">
        <f>VLOOKUP(Counties_by_State_Code[[#This Row],[State_Code]],Territory_by_Code[],2)</f>
        <v>Wisconsin</v>
      </c>
      <c r="C3163" t="s">
        <v>399</v>
      </c>
      <c r="D3163">
        <v>89396</v>
      </c>
      <c r="E3163">
        <v>875.63</v>
      </c>
    </row>
    <row r="3164" spans="1:5" x14ac:dyDescent="0.25">
      <c r="A3164" t="s">
        <v>1958</v>
      </c>
      <c r="B3164" t="str">
        <f>VLOOKUP(Counties_by_State_Code[[#This Row],[State_Code]],Territory_by_Code[],2)</f>
        <v>Wisconsin</v>
      </c>
      <c r="C3164" t="s">
        <v>1964</v>
      </c>
      <c r="D3164">
        <v>30066</v>
      </c>
      <c r="E3164">
        <v>481.98</v>
      </c>
    </row>
    <row r="3165" spans="1:5" x14ac:dyDescent="0.25">
      <c r="A3165" t="s">
        <v>1958</v>
      </c>
      <c r="B3165" t="str">
        <f>VLOOKUP(Counties_by_State_Code[[#This Row],[State_Code]],Territory_by_Code[],2)</f>
        <v>Wisconsin</v>
      </c>
      <c r="C3165" t="s">
        <v>255</v>
      </c>
      <c r="D3165">
        <v>44295</v>
      </c>
      <c r="E3165">
        <v>1304.1400000000001</v>
      </c>
    </row>
    <row r="3166" spans="1:5" x14ac:dyDescent="0.25">
      <c r="A3166" t="s">
        <v>1958</v>
      </c>
      <c r="B3166" t="str">
        <f>VLOOKUP(Counties_by_State_Code[[#This Row],[State_Code]],Territory_by_Code[],2)</f>
        <v>Wisconsin</v>
      </c>
      <c r="C3166" t="s">
        <v>1313</v>
      </c>
      <c r="D3166">
        <v>45440</v>
      </c>
      <c r="E3166">
        <v>850.11</v>
      </c>
    </row>
    <row r="3167" spans="1:5" x14ac:dyDescent="0.25">
      <c r="A3167" t="s">
        <v>1958</v>
      </c>
      <c r="B3167" t="str">
        <f>VLOOKUP(Counties_by_State_Code[[#This Row],[State_Code]],Territory_by_Code[],2)</f>
        <v>Wisconsin</v>
      </c>
      <c r="C3167" t="s">
        <v>1965</v>
      </c>
      <c r="D3167">
        <v>105710</v>
      </c>
      <c r="E3167">
        <v>637.98</v>
      </c>
    </row>
    <row r="3168" spans="1:5" x14ac:dyDescent="0.25">
      <c r="A3168" t="s">
        <v>1958</v>
      </c>
      <c r="B3168" t="str">
        <f>VLOOKUP(Counties_by_State_Code[[#This Row],[State_Code]],Territory_by_Code[],2)</f>
        <v>Wisconsin</v>
      </c>
      <c r="C3168" t="s">
        <v>1563</v>
      </c>
      <c r="D3168">
        <v>4558</v>
      </c>
      <c r="E3168">
        <v>488.2</v>
      </c>
    </row>
    <row r="3169" spans="1:5" x14ac:dyDescent="0.25">
      <c r="A3169" t="s">
        <v>1958</v>
      </c>
      <c r="B3169" t="str">
        <f>VLOOKUP(Counties_by_State_Code[[#This Row],[State_Code]],Territory_by_Code[],2)</f>
        <v>Wisconsin</v>
      </c>
      <c r="C3169" t="s">
        <v>1966</v>
      </c>
      <c r="D3169">
        <v>104154</v>
      </c>
      <c r="E3169">
        <v>719.55</v>
      </c>
    </row>
    <row r="3170" spans="1:5" x14ac:dyDescent="0.25">
      <c r="A3170" t="s">
        <v>1958</v>
      </c>
      <c r="B3170" t="str">
        <f>VLOOKUP(Counties_by_State_Code[[#This Row],[State_Code]],Territory_by_Code[],2)</f>
        <v>Wisconsin</v>
      </c>
      <c r="C3170" t="s">
        <v>1448</v>
      </c>
      <c r="D3170">
        <v>9179</v>
      </c>
      <c r="E3170">
        <v>1014.07</v>
      </c>
    </row>
    <row r="3171" spans="1:5" x14ac:dyDescent="0.25">
      <c r="A3171" t="s">
        <v>1958</v>
      </c>
      <c r="B3171" t="str">
        <f>VLOOKUP(Counties_by_State_Code[[#This Row],[State_Code]],Territory_by_Code[],2)</f>
        <v>Wisconsin</v>
      </c>
      <c r="C3171" t="s">
        <v>143</v>
      </c>
      <c r="D3171">
        <v>51938</v>
      </c>
      <c r="E3171">
        <v>1146.8499999999999</v>
      </c>
    </row>
    <row r="3172" spans="1:5" x14ac:dyDescent="0.25">
      <c r="A3172" t="s">
        <v>1958</v>
      </c>
      <c r="B3172" t="str">
        <f>VLOOKUP(Counties_by_State_Code[[#This Row],[State_Code]],Territory_by_Code[],2)</f>
        <v>Wisconsin</v>
      </c>
      <c r="C3172" t="s">
        <v>752</v>
      </c>
      <c r="D3172">
        <v>37093</v>
      </c>
      <c r="E3172">
        <v>583.96</v>
      </c>
    </row>
    <row r="3173" spans="1:5" x14ac:dyDescent="0.25">
      <c r="A3173" t="s">
        <v>1958</v>
      </c>
      <c r="B3173" t="str">
        <f>VLOOKUP(Counties_by_State_Code[[#This Row],[State_Code]],Territory_by_Code[],2)</f>
        <v>Wisconsin</v>
      </c>
      <c r="C3173" t="s">
        <v>1967</v>
      </c>
      <c r="D3173">
        <v>19018</v>
      </c>
      <c r="E3173">
        <v>349.44</v>
      </c>
    </row>
    <row r="3174" spans="1:5" x14ac:dyDescent="0.25">
      <c r="A3174" t="s">
        <v>1958</v>
      </c>
      <c r="B3174" t="str">
        <f>VLOOKUP(Counties_by_State_Code[[#This Row],[State_Code]],Territory_by_Code[],2)</f>
        <v>Wisconsin</v>
      </c>
      <c r="C3174" t="s">
        <v>633</v>
      </c>
      <c r="D3174">
        <v>23709</v>
      </c>
      <c r="E3174">
        <v>762.58</v>
      </c>
    </row>
    <row r="3175" spans="1:5" x14ac:dyDescent="0.25">
      <c r="A3175" t="s">
        <v>1958</v>
      </c>
      <c r="B3175" t="str">
        <f>VLOOKUP(Counties_by_State_Code[[#This Row],[State_Code]],Territory_by_Code[],2)</f>
        <v>Wisconsin</v>
      </c>
      <c r="C3175" t="s">
        <v>899</v>
      </c>
      <c r="D3175">
        <v>6137</v>
      </c>
      <c r="E3175">
        <v>758.17</v>
      </c>
    </row>
    <row r="3176" spans="1:5" x14ac:dyDescent="0.25">
      <c r="A3176" t="s">
        <v>1958</v>
      </c>
      <c r="B3176" t="str">
        <f>VLOOKUP(Counties_by_State_Code[[#This Row],[State_Code]],Territory_by_Code[],2)</f>
        <v>Wisconsin</v>
      </c>
      <c r="C3176" t="s">
        <v>36</v>
      </c>
      <c r="D3176">
        <v>21145</v>
      </c>
      <c r="E3176">
        <v>987.72</v>
      </c>
    </row>
    <row r="3177" spans="1:5" x14ac:dyDescent="0.25">
      <c r="A3177" t="s">
        <v>1958</v>
      </c>
      <c r="B3177" t="str">
        <f>VLOOKUP(Counties_by_State_Code[[#This Row],[State_Code]],Territory_by_Code[],2)</f>
        <v>Wisconsin</v>
      </c>
      <c r="C3177" t="s">
        <v>37</v>
      </c>
      <c r="D3177">
        <v>84900</v>
      </c>
      <c r="E3177">
        <v>556.47</v>
      </c>
    </row>
    <row r="3178" spans="1:5" x14ac:dyDescent="0.25">
      <c r="A3178" t="s">
        <v>1958</v>
      </c>
      <c r="B3178" t="str">
        <f>VLOOKUP(Counties_by_State_Code[[#This Row],[State_Code]],Territory_by_Code[],2)</f>
        <v>Wisconsin</v>
      </c>
      <c r="C3178" t="s">
        <v>81</v>
      </c>
      <c r="D3178">
        <v>26718</v>
      </c>
      <c r="E3178">
        <v>766.93</v>
      </c>
    </row>
    <row r="3179" spans="1:5" x14ac:dyDescent="0.25">
      <c r="A3179" t="s">
        <v>1958</v>
      </c>
      <c r="B3179" t="str">
        <f>VLOOKUP(Counties_by_State_Code[[#This Row],[State_Code]],Territory_by_Code[],2)</f>
        <v>Wisconsin</v>
      </c>
      <c r="C3179" t="s">
        <v>1968</v>
      </c>
      <c r="D3179">
        <v>169151</v>
      </c>
      <c r="E3179">
        <v>271.99</v>
      </c>
    </row>
    <row r="3180" spans="1:5" x14ac:dyDescent="0.25">
      <c r="A3180" t="s">
        <v>1958</v>
      </c>
      <c r="B3180" t="str">
        <f>VLOOKUP(Counties_by_State_Code[[#This Row],[State_Code]],Territory_by_Code[],2)</f>
        <v>Wisconsin</v>
      </c>
      <c r="C3180" t="s">
        <v>1969</v>
      </c>
      <c r="D3180">
        <v>20563</v>
      </c>
      <c r="E3180">
        <v>342.52</v>
      </c>
    </row>
    <row r="3181" spans="1:5" x14ac:dyDescent="0.25">
      <c r="A3181" t="s">
        <v>1958</v>
      </c>
      <c r="B3181" t="str">
        <f>VLOOKUP(Counties_by_State_Code[[#This Row],[State_Code]],Territory_by_Code[],2)</f>
        <v>Wisconsin</v>
      </c>
      <c r="C3181" t="s">
        <v>1970</v>
      </c>
      <c r="D3181">
        <v>120784</v>
      </c>
      <c r="E3181">
        <v>451.69</v>
      </c>
    </row>
    <row r="3182" spans="1:5" x14ac:dyDescent="0.25">
      <c r="A3182" t="s">
        <v>1958</v>
      </c>
      <c r="B3182" t="str">
        <f>VLOOKUP(Counties_by_State_Code[[#This Row],[State_Code]],Territory_by_Code[],2)</f>
        <v>Wisconsin</v>
      </c>
      <c r="C3182" t="s">
        <v>150</v>
      </c>
      <c r="D3182">
        <v>16611</v>
      </c>
      <c r="E3182">
        <v>633.59</v>
      </c>
    </row>
    <row r="3183" spans="1:5" x14ac:dyDescent="0.25">
      <c r="A3183" t="s">
        <v>1958</v>
      </c>
      <c r="B3183" t="str">
        <f>VLOOKUP(Counties_by_State_Code[[#This Row],[State_Code]],Territory_by_Code[],2)</f>
        <v>Wisconsin</v>
      </c>
      <c r="C3183" t="s">
        <v>1971</v>
      </c>
      <c r="D3183">
        <v>19491</v>
      </c>
      <c r="E3183">
        <v>870.64</v>
      </c>
    </row>
    <row r="3184" spans="1:5" x14ac:dyDescent="0.25">
      <c r="A3184" t="s">
        <v>1958</v>
      </c>
      <c r="B3184" t="str">
        <f>VLOOKUP(Counties_by_State_Code[[#This Row],[State_Code]],Territory_by_Code[],2)</f>
        <v>Wisconsin</v>
      </c>
      <c r="C3184" t="s">
        <v>151</v>
      </c>
      <c r="D3184">
        <v>28415</v>
      </c>
      <c r="E3184">
        <v>878.97</v>
      </c>
    </row>
    <row r="3185" spans="1:5" x14ac:dyDescent="0.25">
      <c r="A3185" t="s">
        <v>1958</v>
      </c>
      <c r="B3185" t="str">
        <f>VLOOKUP(Counties_by_State_Code[[#This Row],[State_Code]],Territory_by_Code[],2)</f>
        <v>Wisconsin</v>
      </c>
      <c r="C3185" t="s">
        <v>1972</v>
      </c>
      <c r="D3185">
        <v>81359</v>
      </c>
      <c r="E3185">
        <v>589.08000000000004</v>
      </c>
    </row>
    <row r="3186" spans="1:5" x14ac:dyDescent="0.25">
      <c r="A3186" t="s">
        <v>1958</v>
      </c>
      <c r="B3186" t="str">
        <f>VLOOKUP(Counties_by_State_Code[[#This Row],[State_Code]],Territory_by_Code[],2)</f>
        <v>Wisconsin</v>
      </c>
      <c r="C3186" t="s">
        <v>1973</v>
      </c>
      <c r="D3186">
        <v>138013</v>
      </c>
      <c r="E3186">
        <v>1544.98</v>
      </c>
    </row>
    <row r="3187" spans="1:5" x14ac:dyDescent="0.25">
      <c r="A3187" t="s">
        <v>1958</v>
      </c>
      <c r="B3187" t="str">
        <f>VLOOKUP(Counties_by_State_Code[[#This Row],[State_Code]],Territory_by_Code[],2)</f>
        <v>Wisconsin</v>
      </c>
      <c r="C3187" t="s">
        <v>1974</v>
      </c>
      <c r="D3187">
        <v>41872</v>
      </c>
      <c r="E3187">
        <v>1399.35</v>
      </c>
    </row>
    <row r="3188" spans="1:5" x14ac:dyDescent="0.25">
      <c r="A3188" t="s">
        <v>1958</v>
      </c>
      <c r="B3188" t="str">
        <f>VLOOKUP(Counties_by_State_Code[[#This Row],[State_Code]],Territory_by_Code[],2)</f>
        <v>Wisconsin</v>
      </c>
      <c r="C3188" t="s">
        <v>911</v>
      </c>
      <c r="D3188">
        <v>15592</v>
      </c>
      <c r="E3188">
        <v>455.6</v>
      </c>
    </row>
    <row r="3189" spans="1:5" x14ac:dyDescent="0.25">
      <c r="A3189" t="s">
        <v>1958</v>
      </c>
      <c r="B3189" t="str">
        <f>VLOOKUP(Counties_by_State_Code[[#This Row],[State_Code]],Territory_by_Code[],2)</f>
        <v>Wisconsin</v>
      </c>
      <c r="C3189" t="s">
        <v>913</v>
      </c>
      <c r="D3189">
        <v>4255</v>
      </c>
      <c r="E3189">
        <v>357.61</v>
      </c>
    </row>
    <row r="3190" spans="1:5" x14ac:dyDescent="0.25">
      <c r="A3190" t="s">
        <v>1958</v>
      </c>
      <c r="B3190" t="str">
        <f>VLOOKUP(Counties_by_State_Code[[#This Row],[State_Code]],Territory_by_Code[],2)</f>
        <v>Wisconsin</v>
      </c>
      <c r="C3190" t="s">
        <v>1975</v>
      </c>
      <c r="D3190">
        <v>939489</v>
      </c>
      <c r="E3190">
        <v>241.4</v>
      </c>
    </row>
    <row r="3191" spans="1:5" x14ac:dyDescent="0.25">
      <c r="A3191" t="s">
        <v>1958</v>
      </c>
      <c r="B3191" t="str">
        <f>VLOOKUP(Counties_by_State_Code[[#This Row],[State_Code]],Territory_by_Code[],2)</f>
        <v>Wisconsin</v>
      </c>
      <c r="C3191" t="s">
        <v>50</v>
      </c>
      <c r="D3191">
        <v>46274</v>
      </c>
      <c r="E3191">
        <v>900.78</v>
      </c>
    </row>
    <row r="3192" spans="1:5" x14ac:dyDescent="0.25">
      <c r="A3192" t="s">
        <v>1958</v>
      </c>
      <c r="B3192" t="str">
        <f>VLOOKUP(Counties_by_State_Code[[#This Row],[State_Code]],Territory_by_Code[],2)</f>
        <v>Wisconsin</v>
      </c>
      <c r="C3192" t="s">
        <v>1976</v>
      </c>
      <c r="D3192">
        <v>38965</v>
      </c>
      <c r="E3192">
        <v>997.99</v>
      </c>
    </row>
    <row r="3193" spans="1:5" x14ac:dyDescent="0.25">
      <c r="A3193" t="s">
        <v>1958</v>
      </c>
      <c r="B3193" t="str">
        <f>VLOOKUP(Counties_by_State_Code[[#This Row],[State_Code]],Territory_by_Code[],2)</f>
        <v>Wisconsin</v>
      </c>
      <c r="C3193" t="s">
        <v>509</v>
      </c>
      <c r="D3193">
        <v>37845</v>
      </c>
      <c r="E3193">
        <v>1112.97</v>
      </c>
    </row>
    <row r="3194" spans="1:5" x14ac:dyDescent="0.25">
      <c r="A3194" t="s">
        <v>1958</v>
      </c>
      <c r="B3194" t="str">
        <f>VLOOKUP(Counties_by_State_Code[[#This Row],[State_Code]],Territory_by_Code[],2)</f>
        <v>Wisconsin</v>
      </c>
      <c r="C3194" t="s">
        <v>1977</v>
      </c>
      <c r="D3194">
        <v>190705</v>
      </c>
      <c r="E3194">
        <v>637.52</v>
      </c>
    </row>
    <row r="3195" spans="1:5" x14ac:dyDescent="0.25">
      <c r="A3195" t="s">
        <v>1958</v>
      </c>
      <c r="B3195" t="str">
        <f>VLOOKUP(Counties_by_State_Code[[#This Row],[State_Code]],Territory_by_Code[],2)</f>
        <v>Wisconsin</v>
      </c>
      <c r="C3195" t="s">
        <v>1978</v>
      </c>
      <c r="D3195">
        <v>91503</v>
      </c>
      <c r="E3195">
        <v>233.08</v>
      </c>
    </row>
    <row r="3196" spans="1:5" x14ac:dyDescent="0.25">
      <c r="A3196" t="s">
        <v>1958</v>
      </c>
      <c r="B3196" t="str">
        <f>VLOOKUP(Counties_by_State_Code[[#This Row],[State_Code]],Territory_by_Code[],2)</f>
        <v>Wisconsin</v>
      </c>
      <c r="C3196" t="s">
        <v>1979</v>
      </c>
      <c r="D3196">
        <v>7318</v>
      </c>
      <c r="E3196">
        <v>231.98</v>
      </c>
    </row>
    <row r="3197" spans="1:5" x14ac:dyDescent="0.25">
      <c r="A3197" t="s">
        <v>1958</v>
      </c>
      <c r="B3197" t="str">
        <f>VLOOKUP(Counties_by_State_Code[[#This Row],[State_Code]],Territory_by_Code[],2)</f>
        <v>Wisconsin</v>
      </c>
      <c r="C3197" t="s">
        <v>442</v>
      </c>
      <c r="D3197">
        <v>42212</v>
      </c>
      <c r="E3197">
        <v>573.75</v>
      </c>
    </row>
    <row r="3198" spans="1:5" x14ac:dyDescent="0.25">
      <c r="A3198" t="s">
        <v>1958</v>
      </c>
      <c r="B3198" t="str">
        <f>VLOOKUP(Counties_by_State_Code[[#This Row],[State_Code]],Territory_by_Code[],2)</f>
        <v>Wisconsin</v>
      </c>
      <c r="C3198" t="s">
        <v>162</v>
      </c>
      <c r="D3198">
        <v>44977</v>
      </c>
      <c r="E3198">
        <v>913.96</v>
      </c>
    </row>
    <row r="3199" spans="1:5" x14ac:dyDescent="0.25">
      <c r="A3199" t="s">
        <v>1958</v>
      </c>
      <c r="B3199" t="str">
        <f>VLOOKUP(Counties_by_State_Code[[#This Row],[State_Code]],Territory_by_Code[],2)</f>
        <v>Wisconsin</v>
      </c>
      <c r="C3199" t="s">
        <v>1365</v>
      </c>
      <c r="D3199">
        <v>70377</v>
      </c>
      <c r="E3199">
        <v>800.68</v>
      </c>
    </row>
    <row r="3200" spans="1:5" x14ac:dyDescent="0.25">
      <c r="A3200" t="s">
        <v>1958</v>
      </c>
      <c r="B3200" t="str">
        <f>VLOOKUP(Counties_by_State_Code[[#This Row],[State_Code]],Territory_by_Code[],2)</f>
        <v>Wisconsin</v>
      </c>
      <c r="C3200" t="s">
        <v>1980</v>
      </c>
      <c r="D3200">
        <v>14054</v>
      </c>
      <c r="E3200">
        <v>1254.3800000000001</v>
      </c>
    </row>
    <row r="3201" spans="1:5" x14ac:dyDescent="0.25">
      <c r="A3201" t="s">
        <v>1958</v>
      </c>
      <c r="B3201" t="str">
        <f>VLOOKUP(Counties_by_State_Code[[#This Row],[State_Code]],Territory_by_Code[],2)</f>
        <v>Wisconsin</v>
      </c>
      <c r="C3201" t="s">
        <v>1981</v>
      </c>
      <c r="D3201">
        <v>197727</v>
      </c>
      <c r="E3201">
        <v>332.5</v>
      </c>
    </row>
    <row r="3202" spans="1:5" x14ac:dyDescent="0.25">
      <c r="A3202" t="s">
        <v>1958</v>
      </c>
      <c r="B3202" t="str">
        <f>VLOOKUP(Counties_by_State_Code[[#This Row],[State_Code]],Territory_by_Code[],2)</f>
        <v>Wisconsin</v>
      </c>
      <c r="C3202" t="s">
        <v>558</v>
      </c>
      <c r="D3202">
        <v>17304</v>
      </c>
      <c r="E3202">
        <v>586.15</v>
      </c>
    </row>
    <row r="3203" spans="1:5" x14ac:dyDescent="0.25">
      <c r="A3203" t="s">
        <v>1958</v>
      </c>
      <c r="B3203" t="str">
        <f>VLOOKUP(Counties_by_State_Code[[#This Row],[State_Code]],Territory_by_Code[],2)</f>
        <v>Wisconsin</v>
      </c>
      <c r="C3203" t="s">
        <v>981</v>
      </c>
      <c r="D3203">
        <v>163687</v>
      </c>
      <c r="E3203">
        <v>718.14</v>
      </c>
    </row>
    <row r="3204" spans="1:5" x14ac:dyDescent="0.25">
      <c r="A3204" t="s">
        <v>1958</v>
      </c>
      <c r="B3204" t="str">
        <f>VLOOKUP(Counties_by_State_Code[[#This Row],[State_Code]],Territory_by_Code[],2)</f>
        <v>Wisconsin</v>
      </c>
      <c r="C3204" t="s">
        <v>1765</v>
      </c>
      <c r="D3204">
        <v>14188</v>
      </c>
      <c r="E3204">
        <v>913.59</v>
      </c>
    </row>
    <row r="3205" spans="1:5" x14ac:dyDescent="0.25">
      <c r="A3205" t="s">
        <v>1958</v>
      </c>
      <c r="B3205" t="str">
        <f>VLOOKUP(Counties_by_State_Code[[#This Row],[State_Code]],Territory_by_Code[],2)</f>
        <v>Wisconsin</v>
      </c>
      <c r="C3205" t="s">
        <v>1982</v>
      </c>
      <c r="D3205">
        <v>93536</v>
      </c>
      <c r="E3205">
        <v>830.9</v>
      </c>
    </row>
    <row r="3206" spans="1:5" x14ac:dyDescent="0.25">
      <c r="A3206" t="s">
        <v>1958</v>
      </c>
      <c r="B3206" t="str">
        <f>VLOOKUP(Counties_by_State_Code[[#This Row],[State_Code]],Territory_by_Code[],2)</f>
        <v>Wisconsin</v>
      </c>
      <c r="C3206" t="s">
        <v>1983</v>
      </c>
      <c r="D3206">
        <v>65763</v>
      </c>
      <c r="E3206">
        <v>1257.31</v>
      </c>
    </row>
    <row r="3207" spans="1:5" x14ac:dyDescent="0.25">
      <c r="A3207" t="s">
        <v>1958</v>
      </c>
      <c r="B3207" t="str">
        <f>VLOOKUP(Counties_by_State_Code[[#This Row],[State_Code]],Territory_by_Code[],2)</f>
        <v>Wisconsin</v>
      </c>
      <c r="C3207" t="s">
        <v>1984</v>
      </c>
      <c r="D3207">
        <v>18074</v>
      </c>
      <c r="E3207">
        <v>893.06</v>
      </c>
    </row>
    <row r="3208" spans="1:5" x14ac:dyDescent="0.25">
      <c r="A3208" t="s">
        <v>1958</v>
      </c>
      <c r="B3208" t="str">
        <f>VLOOKUP(Counties_by_State_Code[[#This Row],[State_Code]],Territory_by_Code[],2)</f>
        <v>Wisconsin</v>
      </c>
      <c r="C3208" t="s">
        <v>1985</v>
      </c>
      <c r="D3208">
        <v>40881</v>
      </c>
      <c r="E3208">
        <v>511.27</v>
      </c>
    </row>
    <row r="3209" spans="1:5" x14ac:dyDescent="0.25">
      <c r="A3209" t="s">
        <v>1958</v>
      </c>
      <c r="B3209" t="str">
        <f>VLOOKUP(Counties_by_State_Code[[#This Row],[State_Code]],Territory_by_Code[],2)</f>
        <v>Wisconsin</v>
      </c>
      <c r="C3209" t="s">
        <v>1986</v>
      </c>
      <c r="D3209">
        <v>118034</v>
      </c>
      <c r="E3209">
        <v>722.33</v>
      </c>
    </row>
    <row r="3210" spans="1:5" x14ac:dyDescent="0.25">
      <c r="A3210" t="s">
        <v>1958</v>
      </c>
      <c r="B3210" t="str">
        <f>VLOOKUP(Counties_by_State_Code[[#This Row],[State_Code]],Territory_by_Code[],2)</f>
        <v>Wisconsin</v>
      </c>
      <c r="C3210" t="s">
        <v>362</v>
      </c>
      <c r="D3210">
        <v>19913</v>
      </c>
      <c r="E3210">
        <v>974.88</v>
      </c>
    </row>
    <row r="3211" spans="1:5" x14ac:dyDescent="0.25">
      <c r="A3211" t="s">
        <v>1958</v>
      </c>
      <c r="B3211" t="str">
        <f>VLOOKUP(Counties_by_State_Code[[#This Row],[State_Code]],Territory_by_Code[],2)</f>
        <v>Wisconsin</v>
      </c>
      <c r="C3211" t="s">
        <v>1987</v>
      </c>
      <c r="D3211">
        <v>30760</v>
      </c>
      <c r="E3211">
        <v>732.97</v>
      </c>
    </row>
    <row r="3212" spans="1:5" x14ac:dyDescent="0.25">
      <c r="A3212" t="s">
        <v>1958</v>
      </c>
      <c r="B3212" t="str">
        <f>VLOOKUP(Counties_by_State_Code[[#This Row],[State_Code]],Territory_by_Code[],2)</f>
        <v>Wisconsin</v>
      </c>
      <c r="C3212" t="s">
        <v>827</v>
      </c>
      <c r="D3212">
        <v>30714</v>
      </c>
      <c r="E3212">
        <v>791.58</v>
      </c>
    </row>
    <row r="3213" spans="1:5" x14ac:dyDescent="0.25">
      <c r="A3213" t="s">
        <v>1958</v>
      </c>
      <c r="B3213" t="str">
        <f>VLOOKUP(Counties_by_State_Code[[#This Row],[State_Code]],Territory_by_Code[],2)</f>
        <v>Wisconsin</v>
      </c>
      <c r="C3213" t="s">
        <v>1988</v>
      </c>
      <c r="D3213">
        <v>23047</v>
      </c>
      <c r="E3213">
        <v>856.6</v>
      </c>
    </row>
    <row r="3214" spans="1:5" x14ac:dyDescent="0.25">
      <c r="A3214" t="s">
        <v>1958</v>
      </c>
      <c r="B3214" t="str">
        <f>VLOOKUP(Counties_by_State_Code[[#This Row],[State_Code]],Territory_by_Code[],2)</f>
        <v>Wisconsin</v>
      </c>
      <c r="C3214" t="s">
        <v>1613</v>
      </c>
      <c r="D3214">
        <v>106478</v>
      </c>
      <c r="E3214">
        <v>555.13</v>
      </c>
    </row>
    <row r="3215" spans="1:5" x14ac:dyDescent="0.25">
      <c r="A3215" t="s">
        <v>1958</v>
      </c>
      <c r="B3215" t="str">
        <f>VLOOKUP(Counties_by_State_Code[[#This Row],[State_Code]],Territory_by_Code[],2)</f>
        <v>Wisconsin</v>
      </c>
      <c r="C3215" t="s">
        <v>1989</v>
      </c>
      <c r="D3215">
        <v>16623</v>
      </c>
      <c r="E3215">
        <v>797.11</v>
      </c>
    </row>
    <row r="3216" spans="1:5" x14ac:dyDescent="0.25">
      <c r="A3216" t="s">
        <v>1958</v>
      </c>
      <c r="B3216" t="str">
        <f>VLOOKUP(Counties_by_State_Code[[#This Row],[State_Code]],Territory_by_Code[],2)</f>
        <v>Wisconsin</v>
      </c>
      <c r="C3216" t="s">
        <v>65</v>
      </c>
      <c r="D3216">
        <v>136761</v>
      </c>
      <c r="E3216">
        <v>430.7</v>
      </c>
    </row>
    <row r="3217" spans="1:5" x14ac:dyDescent="0.25">
      <c r="A3217" t="s">
        <v>1958</v>
      </c>
      <c r="B3217" t="str">
        <f>VLOOKUP(Counties_by_State_Code[[#This Row],[State_Code]],Territory_by_Code[],2)</f>
        <v>Wisconsin</v>
      </c>
      <c r="C3217" t="s">
        <v>1990</v>
      </c>
      <c r="D3217">
        <v>406978</v>
      </c>
      <c r="E3217">
        <v>549.57000000000005</v>
      </c>
    </row>
    <row r="3218" spans="1:5" x14ac:dyDescent="0.25">
      <c r="A3218" t="s">
        <v>1958</v>
      </c>
      <c r="B3218" t="str">
        <f>VLOOKUP(Counties_by_State_Code[[#This Row],[State_Code]],Territory_by_Code[],2)</f>
        <v>Wisconsin</v>
      </c>
      <c r="C3218" t="s">
        <v>1991</v>
      </c>
      <c r="D3218">
        <v>51812</v>
      </c>
      <c r="E3218">
        <v>747.71</v>
      </c>
    </row>
    <row r="3219" spans="1:5" x14ac:dyDescent="0.25">
      <c r="A3219" t="s">
        <v>1958</v>
      </c>
      <c r="B3219" t="str">
        <f>VLOOKUP(Counties_by_State_Code[[#This Row],[State_Code]],Territory_by_Code[],2)</f>
        <v>Wisconsin</v>
      </c>
      <c r="C3219" t="s">
        <v>1992</v>
      </c>
      <c r="D3219">
        <v>24520</v>
      </c>
      <c r="E3219">
        <v>626.15</v>
      </c>
    </row>
    <row r="3220" spans="1:5" x14ac:dyDescent="0.25">
      <c r="A3220" t="s">
        <v>1958</v>
      </c>
      <c r="B3220" t="str">
        <f>VLOOKUP(Counties_by_State_Code[[#This Row],[State_Code]],Territory_by_Code[],2)</f>
        <v>Wisconsin</v>
      </c>
      <c r="C3220" t="s">
        <v>570</v>
      </c>
      <c r="D3220">
        <v>171730</v>
      </c>
      <c r="E3220">
        <v>434.49</v>
      </c>
    </row>
    <row r="3221" spans="1:5" x14ac:dyDescent="0.25">
      <c r="A3221" t="s">
        <v>1958</v>
      </c>
      <c r="B3221" t="str">
        <f>VLOOKUP(Counties_by_State_Code[[#This Row],[State_Code]],Territory_by_Code[],2)</f>
        <v>Wisconsin</v>
      </c>
      <c r="C3221" t="s">
        <v>1374</v>
      </c>
      <c r="D3221">
        <v>74207</v>
      </c>
      <c r="E3221">
        <v>793.12</v>
      </c>
    </row>
    <row r="3222" spans="1:5" x14ac:dyDescent="0.25">
      <c r="A3222" t="s">
        <v>1993</v>
      </c>
      <c r="B3222" t="str">
        <f>VLOOKUP(Counties_by_State_Code[[#This Row],[State_Code]],Territory_by_Code[],2)</f>
        <v>Wyoming</v>
      </c>
      <c r="C3222" t="s">
        <v>1207</v>
      </c>
      <c r="D3222">
        <v>37066</v>
      </c>
      <c r="E3222">
        <v>4274</v>
      </c>
    </row>
    <row r="3223" spans="1:5" x14ac:dyDescent="0.25">
      <c r="A3223" t="s">
        <v>1993</v>
      </c>
      <c r="B3223" t="str">
        <f>VLOOKUP(Counties_by_State_Code[[#This Row],[State_Code]],Territory_by_Code[],2)</f>
        <v>Wyoming</v>
      </c>
      <c r="C3223" t="s">
        <v>1074</v>
      </c>
      <c r="D3223">
        <v>11521</v>
      </c>
      <c r="E3223">
        <v>3137</v>
      </c>
    </row>
    <row r="3224" spans="1:5" x14ac:dyDescent="0.25">
      <c r="A3224" t="s">
        <v>1993</v>
      </c>
      <c r="B3224" t="str">
        <f>VLOOKUP(Counties_by_State_Code[[#This Row],[State_Code]],Territory_by_Code[],2)</f>
        <v>Wyoming</v>
      </c>
      <c r="C3224" t="s">
        <v>741</v>
      </c>
      <c r="D3224">
        <v>47026</v>
      </c>
      <c r="E3224">
        <v>4797</v>
      </c>
    </row>
    <row r="3225" spans="1:5" x14ac:dyDescent="0.25">
      <c r="A3225" t="s">
        <v>1993</v>
      </c>
      <c r="B3225" t="str">
        <f>VLOOKUP(Counties_by_State_Code[[#This Row],[State_Code]],Territory_by_Code[],2)</f>
        <v>Wyoming</v>
      </c>
      <c r="C3225" t="s">
        <v>1076</v>
      </c>
      <c r="D3225">
        <v>14537</v>
      </c>
      <c r="E3225">
        <v>7897</v>
      </c>
    </row>
    <row r="3226" spans="1:5" x14ac:dyDescent="0.25">
      <c r="A3226" t="s">
        <v>1993</v>
      </c>
      <c r="B3226" t="str">
        <f>VLOOKUP(Counties_by_State_Code[[#This Row],[State_Code]],Territory_by_Code[],2)</f>
        <v>Wyoming</v>
      </c>
      <c r="C3226" t="s">
        <v>1994</v>
      </c>
      <c r="D3226">
        <v>13751</v>
      </c>
      <c r="E3226">
        <v>4255</v>
      </c>
    </row>
    <row r="3227" spans="1:5" x14ac:dyDescent="0.25">
      <c r="A3227" t="s">
        <v>1993</v>
      </c>
      <c r="B3227" t="str">
        <f>VLOOKUP(Counties_by_State_Code[[#This Row],[State_Code]],Territory_by_Code[],2)</f>
        <v>Wyoming</v>
      </c>
      <c r="C3227" t="s">
        <v>1421</v>
      </c>
      <c r="D3227">
        <v>7181</v>
      </c>
      <c r="E3227">
        <v>2859</v>
      </c>
    </row>
    <row r="3228" spans="1:5" x14ac:dyDescent="0.25">
      <c r="A3228" t="s">
        <v>1993</v>
      </c>
      <c r="B3228" t="str">
        <f>VLOOKUP(Counties_by_State_Code[[#This Row],[State_Code]],Territory_by_Code[],2)</f>
        <v>Wyoming</v>
      </c>
      <c r="C3228" t="s">
        <v>259</v>
      </c>
      <c r="D3228">
        <v>39234</v>
      </c>
      <c r="E3228">
        <v>9183</v>
      </c>
    </row>
    <row r="3229" spans="1:5" x14ac:dyDescent="0.25">
      <c r="A3229" t="s">
        <v>1993</v>
      </c>
      <c r="B3229" t="str">
        <f>VLOOKUP(Counties_by_State_Code[[#This Row],[State_Code]],Territory_by_Code[],2)</f>
        <v>Wyoming</v>
      </c>
      <c r="C3229" t="s">
        <v>1995</v>
      </c>
      <c r="D3229">
        <v>12498</v>
      </c>
      <c r="E3229">
        <v>2225</v>
      </c>
    </row>
    <row r="3230" spans="1:5" x14ac:dyDescent="0.25">
      <c r="A3230" t="s">
        <v>1993</v>
      </c>
      <c r="B3230" t="str">
        <f>VLOOKUP(Counties_by_State_Code[[#This Row],[State_Code]],Territory_by_Code[],2)</f>
        <v>Wyoming</v>
      </c>
      <c r="C3230" t="s">
        <v>1996</v>
      </c>
      <c r="D3230">
        <v>4621</v>
      </c>
      <c r="E3230">
        <v>2004</v>
      </c>
    </row>
    <row r="3231" spans="1:5" x14ac:dyDescent="0.25">
      <c r="A3231" t="s">
        <v>1993</v>
      </c>
      <c r="B3231" t="str">
        <f>VLOOKUP(Counties_by_State_Code[[#This Row],[State_Code]],Territory_by_Code[],2)</f>
        <v>Wyoming</v>
      </c>
      <c r="C3231" t="s">
        <v>149</v>
      </c>
      <c r="D3231">
        <v>8447</v>
      </c>
      <c r="E3231">
        <v>4166</v>
      </c>
    </row>
    <row r="3232" spans="1:5" x14ac:dyDescent="0.25">
      <c r="A3232" t="s">
        <v>1993</v>
      </c>
      <c r="B3232" t="str">
        <f>VLOOKUP(Counties_by_State_Code[[#This Row],[State_Code]],Territory_by_Code[],2)</f>
        <v>Wyoming</v>
      </c>
      <c r="C3232" t="s">
        <v>1997</v>
      </c>
      <c r="D3232">
        <v>100512</v>
      </c>
      <c r="E3232">
        <v>2686</v>
      </c>
    </row>
    <row r="3233" spans="1:5" x14ac:dyDescent="0.25">
      <c r="A3233" t="s">
        <v>1993</v>
      </c>
      <c r="B3233" t="str">
        <f>VLOOKUP(Counties_by_State_Code[[#This Row],[State_Code]],Territory_by_Code[],2)</f>
        <v>Wyoming</v>
      </c>
      <c r="C3233" t="s">
        <v>151</v>
      </c>
      <c r="D3233">
        <v>19581</v>
      </c>
      <c r="E3233">
        <v>4069</v>
      </c>
    </row>
    <row r="3234" spans="1:5" x14ac:dyDescent="0.25">
      <c r="A3234" t="s">
        <v>1993</v>
      </c>
      <c r="B3234" t="str">
        <f>VLOOKUP(Counties_by_State_Code[[#This Row],[State_Code]],Territory_by_Code[],2)</f>
        <v>Wyoming</v>
      </c>
      <c r="C3234" t="s">
        <v>1998</v>
      </c>
      <c r="D3234">
        <v>79955</v>
      </c>
      <c r="E3234">
        <v>5340</v>
      </c>
    </row>
    <row r="3235" spans="1:5" x14ac:dyDescent="0.25">
      <c r="A3235" t="s">
        <v>1993</v>
      </c>
      <c r="B3235" t="str">
        <f>VLOOKUP(Counties_by_State_Code[[#This Row],[State_Code]],Territory_by_Code[],2)</f>
        <v>Wyoming</v>
      </c>
      <c r="C3235" t="s">
        <v>1999</v>
      </c>
      <c r="D3235">
        <v>2467</v>
      </c>
      <c r="E3235">
        <v>2626</v>
      </c>
    </row>
    <row r="3236" spans="1:5" x14ac:dyDescent="0.25">
      <c r="A3236" t="s">
        <v>1993</v>
      </c>
      <c r="B3236" t="str">
        <f>VLOOKUP(Counties_by_State_Code[[#This Row],[State_Code]],Territory_by_Code[],2)</f>
        <v>Wyoming</v>
      </c>
      <c r="C3236" t="s">
        <v>278</v>
      </c>
      <c r="D3236">
        <v>29624</v>
      </c>
      <c r="E3236">
        <v>6943</v>
      </c>
    </row>
    <row r="3237" spans="1:5" x14ac:dyDescent="0.25">
      <c r="A3237" t="s">
        <v>1993</v>
      </c>
      <c r="B3237" t="str">
        <f>VLOOKUP(Counties_by_State_Code[[#This Row],[State_Code]],Territory_by_Code[],2)</f>
        <v>Wyoming</v>
      </c>
      <c r="C3237" t="s">
        <v>1060</v>
      </c>
      <c r="D3237">
        <v>8605</v>
      </c>
      <c r="E3237">
        <v>2085</v>
      </c>
    </row>
    <row r="3238" spans="1:5" x14ac:dyDescent="0.25">
      <c r="A3238" t="s">
        <v>1993</v>
      </c>
      <c r="B3238" t="str">
        <f>VLOOKUP(Counties_by_State_Code[[#This Row],[State_Code]],Territory_by_Code[],2)</f>
        <v>Wyoming</v>
      </c>
      <c r="C3238" t="s">
        <v>714</v>
      </c>
      <c r="D3238">
        <v>30921</v>
      </c>
      <c r="E3238">
        <v>2523</v>
      </c>
    </row>
    <row r="3239" spans="1:5" x14ac:dyDescent="0.25">
      <c r="A3239" t="s">
        <v>1993</v>
      </c>
      <c r="B3239" t="str">
        <f>VLOOKUP(Counties_by_State_Code[[#This Row],[State_Code]],Territory_by_Code[],2)</f>
        <v>Wyoming</v>
      </c>
      <c r="C3239" t="s">
        <v>2000</v>
      </c>
      <c r="D3239">
        <v>8728</v>
      </c>
      <c r="E3239">
        <v>4882</v>
      </c>
    </row>
    <row r="3240" spans="1:5" x14ac:dyDescent="0.25">
      <c r="A3240" t="s">
        <v>1993</v>
      </c>
      <c r="B3240" t="str">
        <f>VLOOKUP(Counties_by_State_Code[[#This Row],[State_Code]],Territory_by_Code[],2)</f>
        <v>Wyoming</v>
      </c>
      <c r="C3240" t="s">
        <v>2001</v>
      </c>
      <c r="D3240">
        <v>42272</v>
      </c>
      <c r="E3240">
        <v>10426</v>
      </c>
    </row>
    <row r="3241" spans="1:5" x14ac:dyDescent="0.25">
      <c r="A3241" t="s">
        <v>1993</v>
      </c>
      <c r="B3241" t="str">
        <f>VLOOKUP(Counties_by_State_Code[[#This Row],[State_Code]],Territory_by_Code[],2)</f>
        <v>Wyoming</v>
      </c>
      <c r="C3241" t="s">
        <v>514</v>
      </c>
      <c r="D3241">
        <v>23331</v>
      </c>
      <c r="E3241">
        <v>4008</v>
      </c>
    </row>
    <row r="3242" spans="1:5" x14ac:dyDescent="0.25">
      <c r="A3242" t="s">
        <v>1993</v>
      </c>
      <c r="B3242" t="str">
        <f>VLOOKUP(Counties_by_State_Code[[#This Row],[State_Code]],Territory_by_Code[],2)</f>
        <v>Wyoming</v>
      </c>
      <c r="C3242" t="s">
        <v>2002</v>
      </c>
      <c r="D3242">
        <v>20450</v>
      </c>
      <c r="E3242">
        <v>2082</v>
      </c>
    </row>
    <row r="3243" spans="1:5" x14ac:dyDescent="0.25">
      <c r="A3243" t="s">
        <v>1993</v>
      </c>
      <c r="B3243" t="str">
        <f>VLOOKUP(Counties_by_State_Code[[#This Row],[State_Code]],Territory_by_Code[],2)</f>
        <v>Wyoming</v>
      </c>
      <c r="C3243" t="s">
        <v>2003</v>
      </c>
      <c r="D3243">
        <v>7685</v>
      </c>
      <c r="E3243">
        <v>2240</v>
      </c>
    </row>
    <row r="3244" spans="1:5" x14ac:dyDescent="0.25">
      <c r="A3244" t="s">
        <v>1993</v>
      </c>
      <c r="B3244" t="str">
        <f>VLOOKUP(Counties_by_State_Code[[#This Row],[State_Code]],Territory_by_Code[],2)</f>
        <v>Wyoming</v>
      </c>
      <c r="C3244" t="s">
        <v>2004</v>
      </c>
      <c r="D3244">
        <v>6838</v>
      </c>
      <c r="E3244">
        <v>2398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9ECA-86D3-4BD5-8E9E-2974C7020A18}">
  <dimension ref="A1:C58"/>
  <sheetViews>
    <sheetView workbookViewId="0">
      <selection activeCell="B15" sqref="B15"/>
    </sheetView>
  </sheetViews>
  <sheetFormatPr defaultRowHeight="15" x14ac:dyDescent="0.25"/>
  <cols>
    <col min="1" max="1" width="7.5703125" customWidth="1"/>
    <col min="2" max="2" width="33.42578125" bestFit="1" customWidth="1"/>
    <col min="3" max="3" width="15.28515625" customWidth="1"/>
  </cols>
  <sheetData>
    <row r="1" spans="1:3" x14ac:dyDescent="0.25">
      <c r="A1" t="s">
        <v>2008</v>
      </c>
      <c r="B1" t="s">
        <v>2009</v>
      </c>
      <c r="C1" t="s">
        <v>2010</v>
      </c>
    </row>
    <row r="2" spans="1:3" x14ac:dyDescent="0.25">
      <c r="A2" t="s">
        <v>69</v>
      </c>
      <c r="B2" t="s">
        <v>2013</v>
      </c>
      <c r="C2" t="s">
        <v>2012</v>
      </c>
    </row>
    <row r="3" spans="1:3" x14ac:dyDescent="0.25">
      <c r="A3" t="s">
        <v>1</v>
      </c>
      <c r="B3" t="s">
        <v>2011</v>
      </c>
      <c r="C3" t="s">
        <v>2012</v>
      </c>
    </row>
    <row r="4" spans="1:3" x14ac:dyDescent="0.25">
      <c r="A4" t="s">
        <v>122</v>
      </c>
      <c r="B4" t="s">
        <v>121</v>
      </c>
      <c r="C4" t="s">
        <v>2012</v>
      </c>
    </row>
    <row r="5" spans="1:3" x14ac:dyDescent="0.25">
      <c r="A5" t="s">
        <v>100</v>
      </c>
      <c r="B5" t="s">
        <v>2014</v>
      </c>
      <c r="C5" t="s">
        <v>2015</v>
      </c>
    </row>
    <row r="6" spans="1:3" x14ac:dyDescent="0.25">
      <c r="A6" t="s">
        <v>106</v>
      </c>
      <c r="B6" t="s">
        <v>2016</v>
      </c>
      <c r="C6" t="s">
        <v>2012</v>
      </c>
    </row>
    <row r="7" spans="1:3" x14ac:dyDescent="0.25">
      <c r="A7" t="s">
        <v>180</v>
      </c>
      <c r="B7" t="s">
        <v>2017</v>
      </c>
      <c r="C7" t="s">
        <v>2012</v>
      </c>
    </row>
    <row r="8" spans="1:3" x14ac:dyDescent="0.25">
      <c r="A8" t="s">
        <v>237</v>
      </c>
      <c r="B8" t="s">
        <v>1676</v>
      </c>
      <c r="C8" t="s">
        <v>2012</v>
      </c>
    </row>
    <row r="9" spans="1:3" x14ac:dyDescent="0.25">
      <c r="A9" t="s">
        <v>293</v>
      </c>
      <c r="B9" t="s">
        <v>2018</v>
      </c>
      <c r="C9" t="s">
        <v>2012</v>
      </c>
    </row>
    <row r="10" spans="1:3" x14ac:dyDescent="0.25">
      <c r="A10" t="s">
        <v>315</v>
      </c>
      <c r="B10" t="s">
        <v>314</v>
      </c>
      <c r="C10" t="s">
        <v>2019</v>
      </c>
    </row>
    <row r="11" spans="1:3" x14ac:dyDescent="0.25">
      <c r="A11" t="s">
        <v>311</v>
      </c>
      <c r="B11" t="s">
        <v>578</v>
      </c>
      <c r="C11" t="s">
        <v>2012</v>
      </c>
    </row>
    <row r="12" spans="1:3" x14ac:dyDescent="0.25">
      <c r="A12" t="s">
        <v>317</v>
      </c>
      <c r="B12" t="s">
        <v>1496</v>
      </c>
      <c r="C12" t="s">
        <v>2012</v>
      </c>
    </row>
    <row r="13" spans="1:3" x14ac:dyDescent="0.25">
      <c r="A13" t="s">
        <v>367</v>
      </c>
      <c r="B13" t="s">
        <v>2020</v>
      </c>
      <c r="C13" t="s">
        <v>2012</v>
      </c>
    </row>
    <row r="14" spans="1:3" x14ac:dyDescent="0.25">
      <c r="A14" t="s">
        <v>476</v>
      </c>
      <c r="B14" t="s">
        <v>475</v>
      </c>
      <c r="C14" t="s">
        <v>2015</v>
      </c>
    </row>
    <row r="15" spans="1:3" x14ac:dyDescent="0.25">
      <c r="A15" t="s">
        <v>478</v>
      </c>
      <c r="B15" t="s">
        <v>477</v>
      </c>
      <c r="C15" t="s">
        <v>2012</v>
      </c>
    </row>
    <row r="16" spans="1:3" x14ac:dyDescent="0.25">
      <c r="A16" t="s">
        <v>615</v>
      </c>
      <c r="B16" t="s">
        <v>633</v>
      </c>
      <c r="C16" t="s">
        <v>2012</v>
      </c>
    </row>
    <row r="17" spans="1:3" x14ac:dyDescent="0.25">
      <c r="A17" t="s">
        <v>484</v>
      </c>
      <c r="B17" t="s">
        <v>501</v>
      </c>
      <c r="C17" t="s">
        <v>2012</v>
      </c>
    </row>
    <row r="18" spans="1:3" x14ac:dyDescent="0.25">
      <c r="A18" t="s">
        <v>517</v>
      </c>
      <c r="B18" t="s">
        <v>2021</v>
      </c>
      <c r="C18" t="s">
        <v>2012</v>
      </c>
    </row>
    <row r="19" spans="1:3" x14ac:dyDescent="0.25">
      <c r="A19" t="s">
        <v>572</v>
      </c>
      <c r="B19" t="s">
        <v>1450</v>
      </c>
      <c r="C19" t="s">
        <v>2012</v>
      </c>
    </row>
    <row r="20" spans="1:3" x14ac:dyDescent="0.25">
      <c r="A20" t="s">
        <v>660</v>
      </c>
      <c r="B20" t="s">
        <v>2022</v>
      </c>
      <c r="C20" t="s">
        <v>2012</v>
      </c>
    </row>
    <row r="21" spans="1:3" x14ac:dyDescent="0.25">
      <c r="A21" t="s">
        <v>728</v>
      </c>
      <c r="B21" t="s">
        <v>2023</v>
      </c>
      <c r="C21" t="s">
        <v>2012</v>
      </c>
    </row>
    <row r="22" spans="1:3" x14ac:dyDescent="0.25">
      <c r="A22" t="s">
        <v>785</v>
      </c>
      <c r="B22" t="s">
        <v>2024</v>
      </c>
      <c r="C22" t="s">
        <v>2012</v>
      </c>
    </row>
    <row r="23" spans="1:3" x14ac:dyDescent="0.25">
      <c r="A23" t="s">
        <v>862</v>
      </c>
      <c r="B23" t="s">
        <v>2027</v>
      </c>
      <c r="C23" t="s">
        <v>2012</v>
      </c>
    </row>
    <row r="24" spans="1:3" x14ac:dyDescent="0.25">
      <c r="A24" t="s">
        <v>844</v>
      </c>
      <c r="B24" t="s">
        <v>2026</v>
      </c>
      <c r="C24" t="s">
        <v>2012</v>
      </c>
    </row>
    <row r="25" spans="1:3" x14ac:dyDescent="0.25">
      <c r="A25" t="s">
        <v>833</v>
      </c>
      <c r="B25" t="s">
        <v>2025</v>
      </c>
      <c r="C25" t="s">
        <v>2012</v>
      </c>
    </row>
    <row r="26" spans="1:3" x14ac:dyDescent="0.25">
      <c r="A26" t="s">
        <v>873</v>
      </c>
      <c r="B26" t="s">
        <v>2028</v>
      </c>
      <c r="C26" t="s">
        <v>2012</v>
      </c>
    </row>
    <row r="27" spans="1:3" x14ac:dyDescent="0.25">
      <c r="A27" t="s">
        <v>936</v>
      </c>
      <c r="B27" t="s">
        <v>2029</v>
      </c>
      <c r="C27" t="s">
        <v>2012</v>
      </c>
    </row>
    <row r="28" spans="1:3" x14ac:dyDescent="0.25">
      <c r="A28" t="s">
        <v>1032</v>
      </c>
      <c r="B28" t="s">
        <v>2030</v>
      </c>
      <c r="C28" t="s">
        <v>2012</v>
      </c>
    </row>
    <row r="29" spans="1:3" x14ac:dyDescent="0.25">
      <c r="A29" t="s">
        <v>1336</v>
      </c>
      <c r="B29" t="s">
        <v>2038</v>
      </c>
      <c r="C29" t="s">
        <v>2015</v>
      </c>
    </row>
    <row r="30" spans="1:3" x14ac:dyDescent="0.25">
      <c r="A30" t="s">
        <v>997</v>
      </c>
      <c r="B30" t="s">
        <v>156</v>
      </c>
      <c r="C30" t="s">
        <v>2012</v>
      </c>
    </row>
    <row r="31" spans="1:3" x14ac:dyDescent="0.25">
      <c r="A31" t="s">
        <v>1073</v>
      </c>
      <c r="B31" t="s">
        <v>2031</v>
      </c>
      <c r="C31" t="s">
        <v>2012</v>
      </c>
    </row>
    <row r="32" spans="1:3" x14ac:dyDescent="0.25">
      <c r="A32" t="s">
        <v>1239</v>
      </c>
      <c r="B32" t="s">
        <v>2036</v>
      </c>
      <c r="C32" t="s">
        <v>2012</v>
      </c>
    </row>
    <row r="33" spans="1:3" x14ac:dyDescent="0.25">
      <c r="A33" t="s">
        <v>1303</v>
      </c>
      <c r="B33" t="s">
        <v>2037</v>
      </c>
      <c r="C33" t="s">
        <v>2012</v>
      </c>
    </row>
    <row r="34" spans="1:3" x14ac:dyDescent="0.25">
      <c r="A34" t="s">
        <v>1109</v>
      </c>
      <c r="B34" t="s">
        <v>2032</v>
      </c>
      <c r="C34" t="s">
        <v>2012</v>
      </c>
    </row>
    <row r="35" spans="1:3" x14ac:dyDescent="0.25">
      <c r="A35" t="s">
        <v>1163</v>
      </c>
      <c r="B35" t="s">
        <v>2033</v>
      </c>
      <c r="C35" t="s">
        <v>2012</v>
      </c>
    </row>
    <row r="36" spans="1:3" x14ac:dyDescent="0.25">
      <c r="A36" t="s">
        <v>1171</v>
      </c>
      <c r="B36" t="s">
        <v>2034</v>
      </c>
      <c r="C36" t="s">
        <v>2012</v>
      </c>
    </row>
    <row r="37" spans="1:3" x14ac:dyDescent="0.25">
      <c r="A37" t="s">
        <v>1183</v>
      </c>
      <c r="B37" t="s">
        <v>2035</v>
      </c>
      <c r="C37" t="s">
        <v>2012</v>
      </c>
    </row>
    <row r="38" spans="1:3" x14ac:dyDescent="0.25">
      <c r="A38" t="s">
        <v>1151</v>
      </c>
      <c r="B38" t="s">
        <v>157</v>
      </c>
      <c r="C38" t="s">
        <v>2012</v>
      </c>
    </row>
    <row r="39" spans="1:3" x14ac:dyDescent="0.25">
      <c r="A39" t="s">
        <v>1208</v>
      </c>
      <c r="B39" t="s">
        <v>1219</v>
      </c>
      <c r="C39" t="s">
        <v>2012</v>
      </c>
    </row>
    <row r="40" spans="1:3" x14ac:dyDescent="0.25">
      <c r="A40" t="s">
        <v>1340</v>
      </c>
      <c r="B40" t="s">
        <v>593</v>
      </c>
      <c r="C40" t="s">
        <v>2012</v>
      </c>
    </row>
    <row r="41" spans="1:3" x14ac:dyDescent="0.25">
      <c r="A41" t="s">
        <v>1376</v>
      </c>
      <c r="B41" t="s">
        <v>1404</v>
      </c>
      <c r="C41" t="s">
        <v>2012</v>
      </c>
    </row>
    <row r="42" spans="1:3" x14ac:dyDescent="0.25">
      <c r="A42" t="s">
        <v>1418</v>
      </c>
      <c r="B42" t="s">
        <v>1055</v>
      </c>
      <c r="C42" t="s">
        <v>2012</v>
      </c>
    </row>
    <row r="43" spans="1:3" x14ac:dyDescent="0.25">
      <c r="A43" t="s">
        <v>1435</v>
      </c>
      <c r="B43" t="s">
        <v>2039</v>
      </c>
      <c r="C43" t="s">
        <v>2012</v>
      </c>
    </row>
    <row r="44" spans="1:3" x14ac:dyDescent="0.25">
      <c r="A44" t="s">
        <v>1469</v>
      </c>
      <c r="B44" t="s">
        <v>2040</v>
      </c>
      <c r="C44" t="s">
        <v>2015</v>
      </c>
    </row>
    <row r="45" spans="1:3" x14ac:dyDescent="0.25">
      <c r="A45" t="s">
        <v>1546</v>
      </c>
      <c r="B45" t="s">
        <v>2041</v>
      </c>
      <c r="C45" t="s">
        <v>2012</v>
      </c>
    </row>
    <row r="46" spans="1:3" x14ac:dyDescent="0.25">
      <c r="A46" t="s">
        <v>1550</v>
      </c>
      <c r="B46" t="s">
        <v>2042</v>
      </c>
      <c r="C46" t="s">
        <v>2012</v>
      </c>
    </row>
    <row r="47" spans="1:3" x14ac:dyDescent="0.25">
      <c r="A47" t="s">
        <v>1578</v>
      </c>
      <c r="B47" t="s">
        <v>2043</v>
      </c>
      <c r="C47" t="s">
        <v>2012</v>
      </c>
    </row>
    <row r="48" spans="1:3" x14ac:dyDescent="0.25">
      <c r="A48" t="s">
        <v>1616</v>
      </c>
      <c r="B48" t="s">
        <v>2044</v>
      </c>
      <c r="C48" t="s">
        <v>2012</v>
      </c>
    </row>
    <row r="49" spans="1:3" x14ac:dyDescent="0.25">
      <c r="A49" t="s">
        <v>1643</v>
      </c>
      <c r="B49" t="s">
        <v>1070</v>
      </c>
      <c r="C49" t="s">
        <v>2012</v>
      </c>
    </row>
    <row r="50" spans="1:3" x14ac:dyDescent="0.25">
      <c r="A50" t="s">
        <v>2045</v>
      </c>
      <c r="B50" t="s">
        <v>2046</v>
      </c>
      <c r="C50" t="s">
        <v>2015</v>
      </c>
    </row>
    <row r="51" spans="1:3" x14ac:dyDescent="0.25">
      <c r="A51" t="s">
        <v>1803</v>
      </c>
      <c r="B51" t="s">
        <v>1817</v>
      </c>
      <c r="C51" t="s">
        <v>2012</v>
      </c>
    </row>
    <row r="52" spans="1:3" x14ac:dyDescent="0.25">
      <c r="A52" t="s">
        <v>1834</v>
      </c>
      <c r="B52" t="s">
        <v>2049</v>
      </c>
      <c r="C52" t="s">
        <v>2012</v>
      </c>
    </row>
    <row r="53" spans="1:3" x14ac:dyDescent="0.25">
      <c r="A53" t="s">
        <v>1830</v>
      </c>
      <c r="B53" t="s">
        <v>2048</v>
      </c>
      <c r="C53" t="s">
        <v>2015</v>
      </c>
    </row>
    <row r="54" spans="1:3" x14ac:dyDescent="0.25">
      <c r="A54" t="s">
        <v>1821</v>
      </c>
      <c r="B54" t="s">
        <v>2047</v>
      </c>
      <c r="C54" t="s">
        <v>2012</v>
      </c>
    </row>
    <row r="55" spans="1:3" x14ac:dyDescent="0.25">
      <c r="A55" t="s">
        <v>1917</v>
      </c>
      <c r="B55" t="s">
        <v>65</v>
      </c>
      <c r="C55" t="s">
        <v>2012</v>
      </c>
    </row>
    <row r="56" spans="1:3" x14ac:dyDescent="0.25">
      <c r="A56" t="s">
        <v>1958</v>
      </c>
      <c r="B56" t="s">
        <v>2051</v>
      </c>
      <c r="C56" t="s">
        <v>2012</v>
      </c>
    </row>
    <row r="57" spans="1:3" x14ac:dyDescent="0.25">
      <c r="A57" t="s">
        <v>1940</v>
      </c>
      <c r="B57" t="s">
        <v>2050</v>
      </c>
      <c r="C57" t="s">
        <v>2012</v>
      </c>
    </row>
    <row r="58" spans="1:3" x14ac:dyDescent="0.25">
      <c r="A58" t="s">
        <v>1993</v>
      </c>
      <c r="B58" t="s">
        <v>1236</v>
      </c>
      <c r="C58" t="s">
        <v>2012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Counties_by_State_Code</vt:lpstr>
      <vt:lpstr>Territory_by_Code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Jofre</dc:creator>
  <cp:lastModifiedBy>JuanPablo Jofre</cp:lastModifiedBy>
  <dcterms:created xsi:type="dcterms:W3CDTF">2026-02-27T11:05:32Z</dcterms:created>
  <dcterms:modified xsi:type="dcterms:W3CDTF">2026-03-04T03:48:58Z</dcterms:modified>
</cp:coreProperties>
</file>